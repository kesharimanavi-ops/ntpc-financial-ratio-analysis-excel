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sha\Downloads\"/>
    </mc:Choice>
  </mc:AlternateContent>
  <xr:revisionPtr revIDLastSave="0" documentId="8_{D2F020EC-2E5E-48F2-B4E3-34F83CEEB26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constructed P&amp;L" sheetId="1" r:id="rId1"/>
    <sheet name="P &amp; L" sheetId="3" r:id="rId2"/>
    <sheet name=" Balance Sheet" sheetId="5" r:id="rId3"/>
    <sheet name="Financial Ratio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6" l="1"/>
  <c r="C6" i="6"/>
  <c r="D6" i="6"/>
  <c r="E6" i="6"/>
  <c r="F6" i="6"/>
  <c r="G6" i="6"/>
  <c r="H6" i="6"/>
  <c r="I6" i="6"/>
  <c r="J6" i="6"/>
  <c r="K6" i="6"/>
  <c r="B7" i="6"/>
  <c r="C7" i="6"/>
  <c r="D7" i="6"/>
  <c r="E7" i="6"/>
  <c r="F7" i="6"/>
  <c r="G7" i="6"/>
  <c r="H7" i="6"/>
  <c r="I7" i="6"/>
  <c r="J7" i="6"/>
  <c r="K7" i="6"/>
  <c r="B8" i="6"/>
  <c r="C8" i="6"/>
  <c r="D8" i="6"/>
  <c r="E8" i="6"/>
  <c r="F8" i="6"/>
  <c r="G8" i="6"/>
  <c r="H8" i="6"/>
  <c r="I8" i="6"/>
  <c r="J8" i="6"/>
  <c r="K8" i="6"/>
  <c r="B9" i="6"/>
  <c r="C9" i="6"/>
  <c r="D9" i="6"/>
  <c r="E9" i="6"/>
  <c r="F9" i="6"/>
  <c r="G9" i="6"/>
  <c r="H9" i="6"/>
  <c r="I9" i="6"/>
  <c r="J9" i="6"/>
  <c r="K9" i="6"/>
  <c r="B10" i="6"/>
  <c r="C10" i="6"/>
  <c r="D10" i="6"/>
  <c r="E10" i="6"/>
  <c r="F10" i="6"/>
  <c r="G10" i="6"/>
  <c r="H10" i="6"/>
  <c r="I10" i="6"/>
  <c r="J10" i="6"/>
  <c r="K10" i="6"/>
  <c r="B12" i="6"/>
  <c r="C12" i="6"/>
  <c r="D12" i="6"/>
  <c r="E12" i="6"/>
  <c r="F12" i="6"/>
  <c r="G12" i="6"/>
  <c r="H12" i="6"/>
  <c r="I12" i="6"/>
  <c r="J12" i="6"/>
  <c r="K12" i="6"/>
  <c r="B13" i="6"/>
  <c r="C13" i="6"/>
  <c r="D13" i="6"/>
  <c r="E13" i="6"/>
  <c r="F13" i="6"/>
  <c r="G13" i="6"/>
  <c r="H13" i="6"/>
  <c r="I13" i="6"/>
  <c r="J13" i="6"/>
  <c r="K13" i="6"/>
  <c r="B14" i="6"/>
  <c r="C14" i="6"/>
  <c r="D14" i="6"/>
  <c r="E14" i="6"/>
  <c r="F14" i="6"/>
  <c r="G14" i="6"/>
  <c r="H14" i="6"/>
  <c r="I14" i="6"/>
  <c r="J14" i="6"/>
  <c r="K14" i="6"/>
  <c r="B16" i="6"/>
  <c r="C16" i="6"/>
  <c r="D16" i="6"/>
  <c r="E16" i="6"/>
  <c r="F16" i="6"/>
  <c r="G16" i="6"/>
  <c r="H16" i="6"/>
  <c r="I16" i="6"/>
  <c r="J16" i="6"/>
  <c r="K16" i="6"/>
  <c r="B17" i="6"/>
  <c r="C17" i="6"/>
  <c r="D17" i="6"/>
  <c r="E17" i="6"/>
  <c r="F17" i="6"/>
  <c r="G17" i="6"/>
  <c r="H17" i="6"/>
  <c r="I17" i="6"/>
  <c r="J17" i="6"/>
  <c r="K17" i="6"/>
  <c r="B18" i="6"/>
  <c r="C18" i="6"/>
  <c r="D18" i="6"/>
  <c r="E18" i="6"/>
  <c r="F18" i="6"/>
  <c r="G18" i="6"/>
  <c r="H18" i="6"/>
  <c r="I18" i="6"/>
  <c r="J18" i="6"/>
  <c r="K18" i="6"/>
  <c r="B19" i="6"/>
  <c r="C19" i="6"/>
  <c r="D19" i="6"/>
  <c r="E19" i="6"/>
  <c r="F19" i="6"/>
  <c r="G19" i="6"/>
  <c r="H19" i="6"/>
  <c r="I19" i="6"/>
  <c r="J19" i="6"/>
  <c r="K19" i="6"/>
  <c r="B21" i="6"/>
  <c r="C21" i="6"/>
  <c r="D21" i="6"/>
  <c r="E21" i="6"/>
  <c r="F21" i="6"/>
  <c r="G21" i="6"/>
  <c r="H21" i="6"/>
  <c r="I21" i="6"/>
  <c r="J21" i="6"/>
  <c r="K21" i="6"/>
  <c r="B22" i="6"/>
  <c r="C22" i="6"/>
  <c r="D22" i="6"/>
  <c r="E22" i="6"/>
  <c r="F22" i="6"/>
  <c r="G22" i="6"/>
  <c r="H22" i="6"/>
  <c r="I22" i="6"/>
  <c r="J22" i="6"/>
  <c r="K22" i="6"/>
  <c r="B23" i="6"/>
  <c r="C23" i="6"/>
  <c r="D23" i="6"/>
  <c r="E23" i="6"/>
  <c r="F23" i="6"/>
  <c r="G23" i="6"/>
  <c r="H23" i="6"/>
  <c r="I23" i="6"/>
  <c r="J23" i="6"/>
  <c r="K23" i="6"/>
  <c r="B24" i="6"/>
  <c r="C24" i="6"/>
  <c r="D24" i="6"/>
  <c r="E24" i="6"/>
  <c r="F24" i="6"/>
  <c r="G24" i="6"/>
  <c r="H24" i="6"/>
  <c r="I24" i="6"/>
  <c r="J24" i="6"/>
  <c r="K24" i="6"/>
  <c r="B25" i="6"/>
  <c r="C25" i="6"/>
  <c r="D25" i="6"/>
  <c r="E25" i="6"/>
  <c r="F25" i="6"/>
  <c r="G25" i="6"/>
  <c r="H25" i="6"/>
  <c r="I25" i="6"/>
  <c r="J25" i="6"/>
  <c r="K25" i="6"/>
  <c r="B26" i="6"/>
  <c r="C26" i="6"/>
  <c r="D26" i="6"/>
  <c r="E26" i="6"/>
  <c r="F26" i="6"/>
  <c r="G26" i="6"/>
  <c r="H26" i="6"/>
  <c r="I26" i="6"/>
  <c r="J26" i="6"/>
  <c r="K26" i="6"/>
  <c r="B27" i="6"/>
  <c r="C27" i="6"/>
  <c r="D27" i="6"/>
  <c r="E27" i="6"/>
  <c r="F27" i="6"/>
  <c r="G27" i="6"/>
  <c r="H27" i="6"/>
  <c r="I27" i="6"/>
  <c r="J27" i="6"/>
  <c r="K27" i="6"/>
  <c r="B28" i="6"/>
  <c r="C28" i="6"/>
  <c r="D28" i="6"/>
  <c r="E28" i="6"/>
  <c r="F28" i="6"/>
  <c r="G28" i="6"/>
  <c r="H28" i="6"/>
  <c r="I28" i="6"/>
  <c r="J28" i="6"/>
  <c r="K28" i="6"/>
  <c r="K8" i="1"/>
  <c r="J8" i="1"/>
  <c r="I8" i="1"/>
  <c r="H8" i="1"/>
  <c r="G8" i="1"/>
  <c r="F8" i="1"/>
  <c r="E8" i="1"/>
  <c r="D8" i="1"/>
  <c r="C8" i="1"/>
  <c r="B8" i="1"/>
  <c r="K6" i="1"/>
  <c r="K7" i="1" s="1"/>
  <c r="J6" i="1"/>
  <c r="J7" i="1" s="1"/>
  <c r="I6" i="1"/>
  <c r="I7" i="1" s="1"/>
  <c r="H6" i="1"/>
  <c r="H7" i="1" s="1"/>
  <c r="G6" i="1"/>
  <c r="G7" i="1" s="1"/>
  <c r="F6" i="1"/>
  <c r="F7" i="1" s="1"/>
  <c r="E6" i="1"/>
  <c r="E7" i="1" s="1"/>
  <c r="D6" i="1"/>
  <c r="D7" i="1" s="1"/>
  <c r="C6" i="1"/>
  <c r="C7" i="1" s="1"/>
  <c r="B6" i="1"/>
  <c r="B7" i="1" s="1"/>
  <c r="K9" i="1" l="1"/>
  <c r="J9" i="1"/>
  <c r="I9" i="1"/>
  <c r="H9" i="1"/>
  <c r="G9" i="1"/>
  <c r="F9" i="1"/>
  <c r="E9" i="1"/>
  <c r="D9" i="1"/>
  <c r="C9" i="1"/>
  <c r="B9" i="1"/>
  <c r="K12" i="1" l="1"/>
  <c r="K14" i="1" s="1"/>
  <c r="J12" i="1"/>
  <c r="J14" i="1" s="1"/>
  <c r="I12" i="1"/>
  <c r="I14" i="1" s="1"/>
  <c r="H12" i="1"/>
  <c r="H14" i="1" s="1"/>
  <c r="G12" i="1"/>
  <c r="G14" i="1" s="1"/>
  <c r="F12" i="1"/>
  <c r="F14" i="1" s="1"/>
  <c r="E12" i="1"/>
  <c r="E14" i="1" s="1"/>
  <c r="D12" i="1"/>
  <c r="D14" i="1" s="1"/>
  <c r="C12" i="1"/>
  <c r="C14" i="1" s="1"/>
  <c r="B12" i="1"/>
  <c r="B14" i="1" s="1"/>
  <c r="K16" i="1" l="1"/>
  <c r="J16" i="1"/>
  <c r="I16" i="1"/>
  <c r="H16" i="1"/>
  <c r="G16" i="1"/>
  <c r="F16" i="1"/>
  <c r="E16" i="1"/>
  <c r="D16" i="1"/>
  <c r="C16" i="1"/>
  <c r="B16" i="1"/>
</calcChain>
</file>

<file path=xl/sharedStrings.xml><?xml version="1.0" encoding="utf-8"?>
<sst xmlns="http://schemas.openxmlformats.org/spreadsheetml/2006/main" count="166" uniqueCount="133">
  <si>
    <t>NTPC Ltd. – Reconstructed Profit &amp; Loss Account</t>
  </si>
  <si>
    <t>₹ Crore | FY 2015-16 to FY 2024-25</t>
  </si>
  <si>
    <t>Particulars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</si>
  <si>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</si>
  <si>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</si>
  <si>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</si>
  <si>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</si>
  <si>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</si>
  <si>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</si>
  <si>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</si>
  <si>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</si>
  <si>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</si>
  <si>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2025</t>
  </si>
  <si>
    <t>Sales / Revenue (Revenue from Operations)</t>
  </si>
  <si>
    <t>(-) Cost of Goods Sold / Direct Cost</t>
  </si>
  <si>
    <t>Gross Profit</t>
  </si>
  <si>
    <t>(-) Operating Expenses (incl. Depreciation)</t>
  </si>
  <si>
    <t>Operating Profit (EBIT)</t>
  </si>
  <si>
    <t>(+) Other / Non-operating Income</t>
  </si>
  <si>
    <t>(+/-) Exceptional Items</t>
  </si>
  <si>
    <t>EBIT after adjustments</t>
  </si>
  <si>
    <t>(-) Interest / Finance Cost</t>
  </si>
  <si>
    <t>Earnings Before Tax (EBT)</t>
  </si>
  <si>
    <t>(-) Tax Expense</t>
  </si>
  <si>
    <t>Net Profit</t>
  </si>
  <si>
    <t>Finance Cost</t>
  </si>
  <si>
    <t>Tax expense</t>
  </si>
  <si>
    <t>-</t>
  </si>
  <si>
    <t>Total Income</t>
  </si>
  <si>
    <t>Revenue From Operations(Net)</t>
  </si>
  <si>
    <t>Revenue From Sale of Products</t>
  </si>
  <si>
    <t>Revenue From Sale of Services</t>
  </si>
  <si>
    <t>Other operating Revenue</t>
  </si>
  <si>
    <t>Less:Indirect Taxes</t>
  </si>
  <si>
    <t>Revenue from Interest</t>
  </si>
  <si>
    <t>Revenue from Other Financial Services</t>
  </si>
  <si>
    <t>Other Income</t>
  </si>
  <si>
    <t>Total Expenses</t>
  </si>
  <si>
    <t>Cost of material consumed</t>
  </si>
  <si>
    <t>Purchase of traded goods</t>
  </si>
  <si>
    <t>Changes in inventories of FG, WIP and SIT</t>
  </si>
  <si>
    <t>Employee benefit expense</t>
  </si>
  <si>
    <t>Depreciation &amp; Amortisation</t>
  </si>
  <si>
    <t>Other Expenses</t>
  </si>
  <si>
    <t>Total profit before prior period items, exceptional items, extraordinary items and tax</t>
  </si>
  <si>
    <t>Prior period items before tax</t>
  </si>
  <si>
    <t>Exceptional items before tax</t>
  </si>
  <si>
    <t>Total profit before extraordinary items and tax</t>
  </si>
  <si>
    <t>Extraordinary items before tax</t>
  </si>
  <si>
    <t>Total profit before tax</t>
  </si>
  <si>
    <t>Current tax</t>
  </si>
  <si>
    <t>Deferred Tax</t>
  </si>
  <si>
    <t>Total profit (loss) for period from continuing operations</t>
  </si>
  <si>
    <t>Total profit (loss) for period from discontinuing operations</t>
  </si>
  <si>
    <t>Total profit (loss) for period</t>
  </si>
  <si>
    <t>Earnings per equity share</t>
  </si>
  <si>
    <t>Basic earning per equity share</t>
  </si>
  <si>
    <t>Diluted earnings per equity share</t>
  </si>
  <si>
    <t>Equity &amp; Liabilities</t>
  </si>
  <si>
    <t>Equity</t>
  </si>
  <si>
    <t>Share Capital</t>
  </si>
  <si>
    <t>Reserves &amp; Surplus</t>
  </si>
  <si>
    <t>Money received against share warrants</t>
  </si>
  <si>
    <t>Non-Current liabilities</t>
  </si>
  <si>
    <t>Long term Borrowings</t>
  </si>
  <si>
    <t>Long term Provisions</t>
  </si>
  <si>
    <t>Net Deferred Tax Liabilities</t>
  </si>
  <si>
    <t>Other Long Term Liabilities</t>
  </si>
  <si>
    <t>Current liabilities</t>
  </si>
  <si>
    <t>Short Term Borrowings</t>
  </si>
  <si>
    <t>Trade Payables</t>
  </si>
  <si>
    <t>Short term Provisions</t>
  </si>
  <si>
    <t>Other Short Term Liabilities</t>
  </si>
  <si>
    <t>Assets</t>
  </si>
  <si>
    <t>Non-Current Assets</t>
  </si>
  <si>
    <t>Net Fixed Assets</t>
  </si>
  <si>
    <t>CWIP &amp; Intangibles under Development</t>
  </si>
  <si>
    <t>Non Current Investments</t>
  </si>
  <si>
    <t>Long Term Loans and Advances</t>
  </si>
  <si>
    <t>Net Deferred Tax Assets</t>
  </si>
  <si>
    <t>Other Non-Current Assets</t>
  </si>
  <si>
    <t>Current Assets</t>
  </si>
  <si>
    <t>Current Investments</t>
  </si>
  <si>
    <t>Inventories</t>
  </si>
  <si>
    <t>Trade Receivables</t>
  </si>
  <si>
    <t>Cash &amp; Bank Balances</t>
  </si>
  <si>
    <t>Short Term Loans and Advances</t>
  </si>
  <si>
    <t>Other Current Assets</t>
  </si>
  <si>
    <t>Contingent Liabilities Disclosure</t>
  </si>
  <si>
    <t>Claims against company not acknowledged as debt</t>
  </si>
  <si>
    <t>Guarantees</t>
  </si>
  <si>
    <t>Other money for which company is contingently liable</t>
  </si>
  <si>
    <t>Estimated amount of contracts remaining to be executed on capital account and not provided for</t>
  </si>
  <si>
    <t>Uncalled liability on shares and other investments partly paid</t>
  </si>
  <si>
    <t>Other commitments</t>
  </si>
  <si>
    <t>Total contingent liabilities and commitments</t>
  </si>
  <si>
    <t>NTPC Ltd. – Financial Ratio Analysis</t>
  </si>
  <si>
    <t>Only ratios shown in the attached notes that can reasonably be calculated from the supplied statements are included.</t>
  </si>
  <si>
    <t>Ratio</t>
  </si>
  <si>
    <t>1. PROFITABILITY RATIOS</t>
  </si>
  <si>
    <t>Gross Profit Margin (%)</t>
  </si>
  <si>
    <t>Operating Profit Margin (%)</t>
  </si>
  <si>
    <t>Net Profit Margin (%)</t>
  </si>
  <si>
    <t>Return on Equity / ROE (%)</t>
  </si>
  <si>
    <t>Return on Capital Employed / ROCE (%)</t>
  </si>
  <si>
    <t>2. LIQUIDITY RATIOS</t>
  </si>
  <si>
    <t>Current Ratio (times)</t>
  </si>
  <si>
    <t>Quick Ratio / Acid-Test Ratio (times)</t>
  </si>
  <si>
    <t>Cash Ratio (times)</t>
  </si>
  <si>
    <t>3. SOLVENCY RATIOS</t>
  </si>
  <si>
    <t>Debt-to-Equity Ratio (times)</t>
  </si>
  <si>
    <t>Debt Ratio (%)</t>
  </si>
  <si>
    <t>Equity Ratio (%)</t>
  </si>
  <si>
    <t>Interest Coverage Ratio (times)</t>
  </si>
  <si>
    <t>4. EFFICIENCY / ACTIVITY RATIOS</t>
  </si>
  <si>
    <t>Inventory Turnover (times)</t>
  </si>
  <si>
    <t>Receivables Turnover (times)</t>
  </si>
  <si>
    <t>Receivables Collection Period (days)</t>
  </si>
  <si>
    <t>Payables Turnover (times)</t>
  </si>
  <si>
    <t>Payables Payment Period (days)</t>
  </si>
  <si>
    <t>Fixed Asset Turnover (times)</t>
  </si>
  <si>
    <t>Total Asset Turnover (times)</t>
  </si>
  <si>
    <t>Working Capital Turnover (times)</t>
  </si>
  <si>
    <t>5. Valuation Ratio (current year)</t>
  </si>
  <si>
    <t>P/E Ratio (times)</t>
  </si>
  <si>
    <t xml:space="preserve">Dividend payout ratio </t>
  </si>
  <si>
    <t>Dividend yield ratio</t>
  </si>
  <si>
    <t>Price to book ratio(times)</t>
  </si>
  <si>
    <t>NOTES</t>
  </si>
  <si>
    <t>1. As of 8 September 2026, 12:23 PM IST, NTPC was trading at approximately ₹330.30/share.
For the calculations, the latest TTM EPS is ₹28.63, with TTM EPS growth of about 15.87%. The latest book value per share reported is around ₹216, and NTPC's FY2025–26 total dividend is ₹9/share</t>
  </si>
  <si>
    <t>2.latest TTM EPS is ₹28.63</t>
  </si>
  <si>
    <t>3.The latest book value per share reported is around ₹216</t>
  </si>
  <si>
    <t>4.NTPC's FY2025–26 total dividend is ₹9/share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</si>
</sst>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8">
    <font>
      <sz val="11"/>
      <color theme="1"/>
      <name val="Calibri"/>
      <family val="2"/>
      <scheme val="minor"/>
    </font>
    <font>
      <b/>
      <sz val="16"/>
      <name val="Calibri"/>
    </font>
    <font>
      <i/>
      <sz val="10"/>
      <name val="Calibri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vertical="center"/>
    </xf>
    <xf numFmtId="40" fontId="0" fillId="0" borderId="1" xfId="0" applyNumberForma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0" fontId="3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40" fontId="3" fillId="4" borderId="1" xfId="0" applyNumberFormat="1" applyFont="1" applyFill="1" applyBorder="1" applyAlignment="1">
      <alignment vertical="center"/>
    </xf>
    <xf numFmtId="0" fontId="3" fillId="2" borderId="0" xfId="0" applyFont="1" applyFill="1"/>
    <xf numFmtId="40" fontId="0" fillId="0" borderId="0" xfId="0" applyNumberFormat="1"/>
    <xf numFmtId="0" fontId="3" fillId="5" borderId="0" xfId="0" applyFont="1" applyFill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0" fillId="0" borderId="0" xfId="0" applyFill="1" applyBorder="1" applyAlignment="1">
      <alignment vertical="center"/>
    </xf>
    <xf numFmtId="0" fontId="7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pane xSplit="1" ySplit="4" topLeftCell="E5" activePane="bottomRight" state="frozen"/>
      <selection pane="topRight"/>
      <selection pane="bottomLeft"/>
      <selection pane="bottomRight" activeCell="B8" sqref="B8"/>
    </sheetView>
  </sheetViews>
  <sheetFormatPr defaultRowHeight="14.4"/>
  <cols>
    <col min="1" max="1" width="46" customWidth="1"/>
    <col min="2" max="11" width="14" customWidth="1"/>
  </cols>
  <sheetData>
    <row r="1" spans="1:11" ht="21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4" spans="1:1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>
      <c r="A5" s="3" t="s">
        <v>13</v>
      </c>
      <c r="B5" s="4">
        <v>70843.81</v>
      </c>
      <c r="C5" s="4">
        <v>78537.36</v>
      </c>
      <c r="D5" s="4">
        <v>86713.55</v>
      </c>
      <c r="E5" s="4">
        <v>86466.09</v>
      </c>
      <c r="F5" s="4">
        <v>102529.23</v>
      </c>
      <c r="G5" s="4">
        <v>100986.11</v>
      </c>
      <c r="H5" s="4">
        <v>122588.98</v>
      </c>
      <c r="I5" s="4">
        <v>163178.68</v>
      </c>
      <c r="J5" s="4">
        <v>163143.20000000001</v>
      </c>
      <c r="K5" s="4">
        <v>173350.07</v>
      </c>
    </row>
    <row r="6" spans="1:11">
      <c r="A6" s="3" t="s">
        <v>14</v>
      </c>
      <c r="B6" s="4">
        <f>43798.59+0+0</f>
        <v>43798.59</v>
      </c>
      <c r="C6" s="4">
        <f>47572.19+0+0</f>
        <v>47572.19</v>
      </c>
      <c r="D6" s="4">
        <f>48315.47+1313.51+0</f>
        <v>49628.98</v>
      </c>
      <c r="E6" s="4">
        <f>52493.74+2713.68+0</f>
        <v>55207.42</v>
      </c>
      <c r="F6" s="4">
        <f>54241.82+2776.44+0</f>
        <v>57018.26</v>
      </c>
      <c r="G6" s="4">
        <f>52849.64+3031.25+0</f>
        <v>55880.89</v>
      </c>
      <c r="H6" s="4">
        <f>66570.07+3450.22+0</f>
        <v>70020.290000000008</v>
      </c>
      <c r="I6" s="4">
        <f>96851.5+3656.26+0</f>
        <v>100507.76</v>
      </c>
      <c r="J6" s="4">
        <f>94037.49+3881.66+0</f>
        <v>97919.150000000009</v>
      </c>
      <c r="K6" s="4">
        <f>97060.24+3767.7+0</f>
        <v>100827.94</v>
      </c>
    </row>
    <row r="7" spans="1:11">
      <c r="A7" s="5" t="s">
        <v>15</v>
      </c>
      <c r="B7" s="6">
        <f t="shared" ref="B7:K7" si="0">B5-B6</f>
        <v>27045.22</v>
      </c>
      <c r="C7" s="6">
        <f t="shared" si="0"/>
        <v>30965.17</v>
      </c>
      <c r="D7" s="6">
        <f t="shared" si="0"/>
        <v>37084.57</v>
      </c>
      <c r="E7" s="6">
        <f t="shared" si="0"/>
        <v>31258.67</v>
      </c>
      <c r="F7" s="6">
        <f t="shared" si="0"/>
        <v>45510.969999999994</v>
      </c>
      <c r="G7" s="6">
        <f t="shared" si="0"/>
        <v>45105.22</v>
      </c>
      <c r="H7" s="6">
        <f t="shared" si="0"/>
        <v>52568.689999999988</v>
      </c>
      <c r="I7" s="6">
        <f t="shared" si="0"/>
        <v>62670.92</v>
      </c>
      <c r="J7" s="6">
        <f t="shared" si="0"/>
        <v>65224.05</v>
      </c>
      <c r="K7" s="6">
        <f t="shared" si="0"/>
        <v>72522.13</v>
      </c>
    </row>
    <row r="8" spans="1:11">
      <c r="A8" s="3" t="s">
        <v>16</v>
      </c>
      <c r="B8" s="4">
        <f>3581.65+5172.34+5564.4</f>
        <v>14318.39</v>
      </c>
      <c r="C8" s="4">
        <f>4324.6+5920.82+5092.38</f>
        <v>15337.8</v>
      </c>
      <c r="D8" s="4">
        <f>4734.67+7098.86+7421.73</f>
        <v>19255.259999999998</v>
      </c>
      <c r="E8" s="4">
        <f>4779.89+7254.36+7548.63</f>
        <v>19582.88</v>
      </c>
      <c r="F8" s="4">
        <f>4925.6+8622.85+8663.81</f>
        <v>22212.260000000002</v>
      </c>
      <c r="G8" s="4">
        <f>4942.19+10411.8+9580.28</f>
        <v>24934.269999999997</v>
      </c>
      <c r="H8" s="4">
        <f>5412.07+12058.24+9717.19</f>
        <v>27187.5</v>
      </c>
      <c r="I8" s="4">
        <f>5559.03+13136.71+14474.59</f>
        <v>33170.33</v>
      </c>
      <c r="J8" s="4">
        <f>5670.1+13943.15+15213.43</f>
        <v>34826.68</v>
      </c>
      <c r="K8" s="4">
        <f>5724.67+15055.84+18111.6</f>
        <v>38892.11</v>
      </c>
    </row>
    <row r="9" spans="1:11">
      <c r="A9" s="5" t="s">
        <v>17</v>
      </c>
      <c r="B9" s="6">
        <f t="shared" ref="B9:K9" si="1">B7-B8</f>
        <v>12726.830000000002</v>
      </c>
      <c r="C9" s="6">
        <f t="shared" si="1"/>
        <v>15627.369999999999</v>
      </c>
      <c r="D9" s="6">
        <f t="shared" si="1"/>
        <v>17829.310000000001</v>
      </c>
      <c r="E9" s="6">
        <f t="shared" si="1"/>
        <v>11675.789999999997</v>
      </c>
      <c r="F9" s="6">
        <f t="shared" si="1"/>
        <v>23298.709999999992</v>
      </c>
      <c r="G9" s="6">
        <f t="shared" si="1"/>
        <v>20170.950000000004</v>
      </c>
      <c r="H9" s="6">
        <f t="shared" si="1"/>
        <v>25381.189999999988</v>
      </c>
      <c r="I9" s="6">
        <f t="shared" si="1"/>
        <v>29500.589999999997</v>
      </c>
      <c r="J9" s="6">
        <f t="shared" si="1"/>
        <v>30397.370000000003</v>
      </c>
      <c r="K9" s="6">
        <f t="shared" si="1"/>
        <v>33630.020000000004</v>
      </c>
    </row>
    <row r="10" spans="1:11">
      <c r="A10" s="3" t="s">
        <v>18</v>
      </c>
      <c r="B10" s="4">
        <v>1165.3499999999999</v>
      </c>
      <c r="C10" s="4">
        <v>1068.8599999999999</v>
      </c>
      <c r="D10" s="4">
        <v>1755.25</v>
      </c>
      <c r="E10" s="4">
        <v>1872.13</v>
      </c>
      <c r="F10" s="4">
        <v>2778.02</v>
      </c>
      <c r="G10" s="4">
        <v>4345.99</v>
      </c>
      <c r="H10" s="4">
        <v>3575.11</v>
      </c>
      <c r="I10" s="4">
        <v>3954.64</v>
      </c>
      <c r="J10" s="4">
        <v>3698.32</v>
      </c>
      <c r="K10" s="4">
        <v>4376.12</v>
      </c>
    </row>
    <row r="11" spans="1:11">
      <c r="A11" s="3" t="s">
        <v>19</v>
      </c>
      <c r="B11" s="4">
        <v>0</v>
      </c>
      <c r="C11" s="4">
        <v>-782.95</v>
      </c>
      <c r="D11" s="4">
        <v>0</v>
      </c>
      <c r="E11" s="4">
        <v>0</v>
      </c>
      <c r="F11" s="4">
        <v>0</v>
      </c>
      <c r="G11" s="4">
        <v>-1363</v>
      </c>
      <c r="H11" s="4">
        <v>0</v>
      </c>
      <c r="I11" s="4">
        <v>0</v>
      </c>
      <c r="J11" s="4">
        <v>834.55</v>
      </c>
      <c r="K11" s="4">
        <v>0</v>
      </c>
    </row>
    <row r="12" spans="1:11">
      <c r="A12" s="5" t="s">
        <v>20</v>
      </c>
      <c r="B12" s="6">
        <f t="shared" ref="B12:K12" si="2">B9+B10+B11</f>
        <v>13892.180000000002</v>
      </c>
      <c r="C12" s="6">
        <f t="shared" si="2"/>
        <v>15913.279999999999</v>
      </c>
      <c r="D12" s="6">
        <f t="shared" si="2"/>
        <v>19584.560000000001</v>
      </c>
      <c r="E12" s="6">
        <f t="shared" si="2"/>
        <v>13547.919999999998</v>
      </c>
      <c r="F12" s="6">
        <f t="shared" si="2"/>
        <v>26076.729999999992</v>
      </c>
      <c r="G12" s="6">
        <f t="shared" si="2"/>
        <v>23153.940000000002</v>
      </c>
      <c r="H12" s="6">
        <f t="shared" si="2"/>
        <v>28956.299999999988</v>
      </c>
      <c r="I12" s="6">
        <f t="shared" si="2"/>
        <v>33455.229999999996</v>
      </c>
      <c r="J12" s="6">
        <f t="shared" si="2"/>
        <v>34930.240000000005</v>
      </c>
      <c r="K12" s="6">
        <f t="shared" si="2"/>
        <v>38006.140000000007</v>
      </c>
    </row>
    <row r="13" spans="1:11">
      <c r="A13" s="3" t="s">
        <v>21</v>
      </c>
      <c r="B13" s="4">
        <v>3296.41</v>
      </c>
      <c r="C13" s="4">
        <v>3597.2</v>
      </c>
      <c r="D13" s="4">
        <v>3984.25</v>
      </c>
      <c r="E13" s="4">
        <v>4716.74</v>
      </c>
      <c r="F13" s="4">
        <v>6781.97</v>
      </c>
      <c r="G13" s="4">
        <v>7459.03</v>
      </c>
      <c r="H13" s="4">
        <v>8216.5400000000009</v>
      </c>
      <c r="I13" s="4">
        <v>9979.23</v>
      </c>
      <c r="J13" s="4">
        <v>10250.82</v>
      </c>
      <c r="K13" s="4">
        <v>11057.04</v>
      </c>
    </row>
    <row r="14" spans="1:11">
      <c r="A14" s="5" t="s">
        <v>22</v>
      </c>
      <c r="B14" s="6">
        <f t="shared" ref="B14:K14" si="3">B12-B13</f>
        <v>10595.770000000002</v>
      </c>
      <c r="C14" s="6">
        <f t="shared" si="3"/>
        <v>12316.079999999998</v>
      </c>
      <c r="D14" s="6">
        <f t="shared" si="3"/>
        <v>15600.310000000001</v>
      </c>
      <c r="E14" s="6">
        <f t="shared" si="3"/>
        <v>8831.1799999999985</v>
      </c>
      <c r="F14" s="6">
        <f t="shared" si="3"/>
        <v>19294.759999999991</v>
      </c>
      <c r="G14" s="6">
        <f t="shared" si="3"/>
        <v>15694.910000000003</v>
      </c>
      <c r="H14" s="6">
        <f t="shared" si="3"/>
        <v>20739.759999999987</v>
      </c>
      <c r="I14" s="6">
        <f t="shared" si="3"/>
        <v>23475.999999999996</v>
      </c>
      <c r="J14" s="6">
        <f t="shared" si="3"/>
        <v>24679.420000000006</v>
      </c>
      <c r="K14" s="6">
        <f t="shared" si="3"/>
        <v>26949.100000000006</v>
      </c>
    </row>
    <row r="15" spans="1:11">
      <c r="A15" s="3" t="s">
        <v>23</v>
      </c>
      <c r="B15" s="4">
        <v>-173.83</v>
      </c>
      <c r="C15" s="4">
        <v>2930.82</v>
      </c>
      <c r="D15" s="4">
        <v>5257.14</v>
      </c>
      <c r="E15" s="4">
        <v>-2918.71</v>
      </c>
      <c r="F15" s="4">
        <v>9181.9500000000007</v>
      </c>
      <c r="G15" s="4">
        <v>1925.39</v>
      </c>
      <c r="H15" s="4">
        <v>4457.7700000000004</v>
      </c>
      <c r="I15" s="4">
        <v>6279.27</v>
      </c>
      <c r="J15" s="4">
        <v>6600.03</v>
      </c>
      <c r="K15" s="4">
        <v>7299.69</v>
      </c>
    </row>
    <row r="16" spans="1:11">
      <c r="A16" s="7" t="s">
        <v>24</v>
      </c>
      <c r="B16" s="8">
        <f t="shared" ref="B16:K16" si="4">B14-B15</f>
        <v>10769.600000000002</v>
      </c>
      <c r="C16" s="8">
        <f t="shared" si="4"/>
        <v>9385.2599999999984</v>
      </c>
      <c r="D16" s="8">
        <f t="shared" si="4"/>
        <v>10343.170000000002</v>
      </c>
      <c r="E16" s="8">
        <f t="shared" si="4"/>
        <v>11749.89</v>
      </c>
      <c r="F16" s="8">
        <f t="shared" si="4"/>
        <v>10112.80999999999</v>
      </c>
      <c r="G16" s="8">
        <f t="shared" si="4"/>
        <v>13769.520000000004</v>
      </c>
      <c r="H16" s="8">
        <f t="shared" si="4"/>
        <v>16281.989999999987</v>
      </c>
      <c r="I16" s="8">
        <f t="shared" si="4"/>
        <v>17196.729999999996</v>
      </c>
      <c r="J16" s="8">
        <f t="shared" si="4"/>
        <v>18079.390000000007</v>
      </c>
      <c r="K16" s="8">
        <f t="shared" si="4"/>
        <v>19649.410000000007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62" customWidth="1"/>
    <col min="2" max="11" width="14" customWidth="1"/>
  </cols>
  <sheetData>
    <row r="1" spans="1:11">
      <c r="A1" s="9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</row>
    <row r="2" spans="1:11">
      <c r="A2" t="s">
        <v>27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</row>
    <row r="3" spans="1:11">
      <c r="A3" t="s">
        <v>28</v>
      </c>
      <c r="B3" s="10">
        <v>72009.16</v>
      </c>
      <c r="C3" s="10">
        <v>79606.22</v>
      </c>
      <c r="D3" s="10">
        <v>88468.800000000003</v>
      </c>
      <c r="E3" s="10">
        <v>88338.22</v>
      </c>
      <c r="F3" s="10">
        <v>105307.25</v>
      </c>
      <c r="G3" s="10">
        <v>105332.1</v>
      </c>
      <c r="H3" s="10">
        <v>126164.09</v>
      </c>
      <c r="I3" s="10">
        <v>167133.32</v>
      </c>
      <c r="J3" s="10">
        <v>166841.51999999999</v>
      </c>
      <c r="K3" s="10">
        <v>177726.19</v>
      </c>
    </row>
    <row r="4" spans="1:11">
      <c r="A4" t="s">
        <v>29</v>
      </c>
      <c r="B4" s="10">
        <v>70843.81</v>
      </c>
      <c r="C4" s="10">
        <v>78537.36</v>
      </c>
      <c r="D4" s="10">
        <v>86713.55</v>
      </c>
      <c r="E4" s="10">
        <v>86466.09</v>
      </c>
      <c r="F4" s="10">
        <v>102529.23</v>
      </c>
      <c r="G4" s="10">
        <v>100986.11</v>
      </c>
      <c r="H4" s="10">
        <v>122588.98</v>
      </c>
      <c r="I4" s="10">
        <v>163178.68</v>
      </c>
      <c r="J4" s="10">
        <v>163143.20000000001</v>
      </c>
      <c r="K4" s="10">
        <v>173350.07</v>
      </c>
    </row>
    <row r="5" spans="1:11">
      <c r="A5" t="s">
        <v>30</v>
      </c>
      <c r="B5" s="10">
        <v>70301.91</v>
      </c>
      <c r="C5" s="10">
        <v>77739.16</v>
      </c>
      <c r="D5" s="10">
        <v>84789.94</v>
      </c>
      <c r="E5" s="10">
        <v>85923.89</v>
      </c>
      <c r="F5" s="10">
        <v>102272.17</v>
      </c>
      <c r="G5" s="10">
        <v>100571.65</v>
      </c>
      <c r="H5" s="10">
        <v>122401.21</v>
      </c>
      <c r="I5" s="10">
        <v>163024.6</v>
      </c>
      <c r="J5" s="10">
        <v>162972.60999999999</v>
      </c>
      <c r="K5" s="10">
        <v>173183.6</v>
      </c>
    </row>
    <row r="6" spans="1:11">
      <c r="A6" t="s">
        <v>31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247.37</v>
      </c>
      <c r="H6" s="10">
        <v>187.77</v>
      </c>
      <c r="I6" s="10">
        <v>154.08000000000001</v>
      </c>
      <c r="J6" s="10">
        <v>170.59</v>
      </c>
      <c r="K6" s="10">
        <v>166.47</v>
      </c>
    </row>
    <row r="7" spans="1:11">
      <c r="A7" t="s">
        <v>32</v>
      </c>
      <c r="B7" s="10">
        <v>541.9</v>
      </c>
      <c r="C7" s="10">
        <v>798.2</v>
      </c>
      <c r="D7" s="10">
        <v>1923.61</v>
      </c>
      <c r="E7" s="10">
        <v>542.20000000000005</v>
      </c>
      <c r="F7" s="10">
        <v>257.06</v>
      </c>
      <c r="G7" s="10">
        <v>167.09</v>
      </c>
      <c r="H7" s="10">
        <v>0</v>
      </c>
      <c r="I7" s="10">
        <v>0</v>
      </c>
      <c r="J7" s="10">
        <v>0</v>
      </c>
      <c r="K7" s="10">
        <v>0</v>
      </c>
    </row>
    <row r="8" spans="1:11">
      <c r="A8" t="s">
        <v>33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</row>
    <row r="9" spans="1:11">
      <c r="A9" t="s">
        <v>34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</row>
    <row r="10" spans="1:11">
      <c r="A10" t="s">
        <v>35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</row>
    <row r="11" spans="1:11">
      <c r="A11" t="s">
        <v>36</v>
      </c>
      <c r="B11" s="10">
        <v>1165.3499999999999</v>
      </c>
      <c r="C11" s="10">
        <v>1068.8599999999999</v>
      </c>
      <c r="D11" s="10">
        <v>1755.25</v>
      </c>
      <c r="E11" s="10">
        <v>1872.13</v>
      </c>
      <c r="F11" s="10">
        <v>2778.02</v>
      </c>
      <c r="G11" s="10">
        <v>4345.99</v>
      </c>
      <c r="H11" s="10">
        <v>3575.11</v>
      </c>
      <c r="I11" s="10">
        <v>3954.64</v>
      </c>
      <c r="J11" s="10">
        <v>3698.32</v>
      </c>
      <c r="K11" s="10">
        <v>4376.12</v>
      </c>
    </row>
    <row r="12" spans="1:11">
      <c r="A12" t="s">
        <v>37</v>
      </c>
      <c r="B12" s="10">
        <v>61413.39</v>
      </c>
      <c r="C12" s="10">
        <v>66507.19</v>
      </c>
      <c r="D12" s="10">
        <v>72868.490000000005</v>
      </c>
      <c r="E12" s="10">
        <v>79507.039999999994</v>
      </c>
      <c r="F12" s="10">
        <v>86012.49</v>
      </c>
      <c r="G12" s="10">
        <v>88274.19</v>
      </c>
      <c r="H12" s="10">
        <v>105424.33</v>
      </c>
      <c r="I12" s="10">
        <v>143657.32</v>
      </c>
      <c r="J12" s="10">
        <v>142996.65</v>
      </c>
      <c r="K12" s="10">
        <v>150777.09</v>
      </c>
    </row>
    <row r="13" spans="1:11">
      <c r="A13" t="s">
        <v>38</v>
      </c>
      <c r="B13" s="10">
        <v>43798.59</v>
      </c>
      <c r="C13" s="10">
        <v>47572.19</v>
      </c>
      <c r="D13" s="10">
        <v>48315.47</v>
      </c>
      <c r="E13" s="10">
        <v>52493.74</v>
      </c>
      <c r="F13" s="10">
        <v>54241.82</v>
      </c>
      <c r="G13" s="10">
        <v>52849.64</v>
      </c>
      <c r="H13" s="10">
        <v>66570.070000000007</v>
      </c>
      <c r="I13" s="10">
        <v>96851.5</v>
      </c>
      <c r="J13" s="10">
        <v>94037.49</v>
      </c>
      <c r="K13" s="10">
        <v>97060.24</v>
      </c>
    </row>
    <row r="14" spans="1:11">
      <c r="A14" t="s">
        <v>39</v>
      </c>
      <c r="B14" s="10">
        <v>0</v>
      </c>
      <c r="C14" s="10">
        <v>0</v>
      </c>
      <c r="D14" s="10">
        <v>1313.51</v>
      </c>
      <c r="E14" s="10">
        <v>2713.68</v>
      </c>
      <c r="F14" s="10">
        <v>2776.44</v>
      </c>
      <c r="G14" s="10">
        <v>3031.25</v>
      </c>
      <c r="H14" s="10">
        <v>3450.22</v>
      </c>
      <c r="I14" s="10">
        <v>3656.26</v>
      </c>
      <c r="J14" s="10">
        <v>3881.66</v>
      </c>
      <c r="K14" s="10">
        <v>3767.7</v>
      </c>
    </row>
    <row r="15" spans="1:11">
      <c r="A15" t="s">
        <v>40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</row>
    <row r="16" spans="1:11">
      <c r="A16" t="s">
        <v>41</v>
      </c>
      <c r="B16" s="10">
        <v>3581.65</v>
      </c>
      <c r="C16" s="10">
        <v>4324.6000000000004</v>
      </c>
      <c r="D16" s="10">
        <v>4734.67</v>
      </c>
      <c r="E16" s="10">
        <v>4779.8900000000003</v>
      </c>
      <c r="F16" s="10">
        <v>4925.6000000000004</v>
      </c>
      <c r="G16" s="10">
        <v>4942.1899999999996</v>
      </c>
      <c r="H16" s="10">
        <v>5412.07</v>
      </c>
      <c r="I16" s="10">
        <v>5559.03</v>
      </c>
      <c r="J16" s="10">
        <v>5670.1</v>
      </c>
      <c r="K16" s="10">
        <v>5724.67</v>
      </c>
    </row>
    <row r="17" spans="1:11">
      <c r="A17" t="s">
        <v>25</v>
      </c>
      <c r="B17" s="10">
        <v>3296.41</v>
      </c>
      <c r="C17" s="10">
        <v>3597.2</v>
      </c>
      <c r="D17" s="10">
        <v>3984.25</v>
      </c>
      <c r="E17" s="10">
        <v>4716.74</v>
      </c>
      <c r="F17" s="10">
        <v>6781.97</v>
      </c>
      <c r="G17" s="10">
        <v>7459.03</v>
      </c>
      <c r="H17" s="10">
        <v>8216.5400000000009</v>
      </c>
      <c r="I17" s="10">
        <v>9979.23</v>
      </c>
      <c r="J17" s="10">
        <v>10250.82</v>
      </c>
      <c r="K17" s="10">
        <v>11057.04</v>
      </c>
    </row>
    <row r="18" spans="1:11">
      <c r="A18" t="s">
        <v>42</v>
      </c>
      <c r="B18" s="10">
        <v>5172.34</v>
      </c>
      <c r="C18" s="10">
        <v>5920.82</v>
      </c>
      <c r="D18" s="10">
        <v>7098.86</v>
      </c>
      <c r="E18" s="10">
        <v>7254.36</v>
      </c>
      <c r="F18" s="10">
        <v>8622.85</v>
      </c>
      <c r="G18" s="10">
        <v>10411.799999999999</v>
      </c>
      <c r="H18" s="10">
        <v>12058.24</v>
      </c>
      <c r="I18" s="10">
        <v>13136.71</v>
      </c>
      <c r="J18" s="10">
        <v>13943.15</v>
      </c>
      <c r="K18" s="10">
        <v>15055.84</v>
      </c>
    </row>
    <row r="19" spans="1:11">
      <c r="A19" t="s">
        <v>43</v>
      </c>
      <c r="B19" s="10">
        <v>5564.4</v>
      </c>
      <c r="C19" s="10">
        <v>5092.38</v>
      </c>
      <c r="D19" s="10">
        <v>7421.73</v>
      </c>
      <c r="E19" s="10">
        <v>7548.63</v>
      </c>
      <c r="F19" s="10">
        <v>8663.81</v>
      </c>
      <c r="G19" s="10">
        <v>9580.2800000000007</v>
      </c>
      <c r="H19" s="10">
        <v>9717.19</v>
      </c>
      <c r="I19" s="10">
        <v>14474.59</v>
      </c>
      <c r="J19" s="10">
        <v>15213.43</v>
      </c>
      <c r="K19" s="10">
        <v>18111.599999999999</v>
      </c>
    </row>
    <row r="20" spans="1:11">
      <c r="A20" t="s">
        <v>44</v>
      </c>
      <c r="B20" s="10">
        <v>10595.77</v>
      </c>
      <c r="C20" s="10">
        <v>13099.03</v>
      </c>
      <c r="D20" s="10">
        <v>15600.31</v>
      </c>
      <c r="E20" s="10">
        <v>8831.18</v>
      </c>
      <c r="F20" s="10">
        <v>19294.759999999998</v>
      </c>
      <c r="G20" s="10">
        <v>17057.91</v>
      </c>
      <c r="H20" s="10">
        <v>20739.759999999998</v>
      </c>
      <c r="I20" s="10">
        <v>23476</v>
      </c>
      <c r="J20" s="10">
        <v>23844.87</v>
      </c>
      <c r="K20" s="10">
        <v>26949.1</v>
      </c>
    </row>
    <row r="21" spans="1:11">
      <c r="A21" t="s">
        <v>45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</row>
    <row r="22" spans="1:11">
      <c r="A22" t="s">
        <v>46</v>
      </c>
      <c r="B22" s="10">
        <v>0</v>
      </c>
      <c r="C22" s="10">
        <v>-782.95</v>
      </c>
      <c r="D22" s="10">
        <v>0</v>
      </c>
      <c r="E22" s="10">
        <v>0</v>
      </c>
      <c r="F22" s="10">
        <v>0</v>
      </c>
      <c r="G22" s="10">
        <v>-1363</v>
      </c>
      <c r="H22" s="10">
        <v>0</v>
      </c>
      <c r="I22" s="10">
        <v>0</v>
      </c>
      <c r="J22" s="10">
        <v>834.55</v>
      </c>
      <c r="K22" s="10">
        <v>0</v>
      </c>
    </row>
    <row r="23" spans="1:11">
      <c r="A23" t="s">
        <v>47</v>
      </c>
      <c r="B23" s="10">
        <v>10595.77</v>
      </c>
      <c r="C23" s="10">
        <v>12316.08</v>
      </c>
      <c r="D23" s="10">
        <v>15600.31</v>
      </c>
      <c r="E23" s="10">
        <v>8831.18</v>
      </c>
      <c r="F23" s="10">
        <v>19294.759999999998</v>
      </c>
      <c r="G23" s="10">
        <v>15694.91</v>
      </c>
      <c r="H23" s="10">
        <v>20739.759999999998</v>
      </c>
      <c r="I23" s="10">
        <v>23476</v>
      </c>
      <c r="J23" s="10">
        <v>24679.42</v>
      </c>
      <c r="K23" s="10">
        <v>26949.1</v>
      </c>
    </row>
    <row r="24" spans="1:11">
      <c r="A24" t="s">
        <v>48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</row>
    <row r="25" spans="1:11">
      <c r="A25" t="s">
        <v>49</v>
      </c>
      <c r="B25" s="10">
        <v>10595.77</v>
      </c>
      <c r="C25" s="10">
        <v>12316.08</v>
      </c>
      <c r="D25" s="10">
        <v>15600.31</v>
      </c>
      <c r="E25" s="10">
        <v>8831.18</v>
      </c>
      <c r="F25" s="10">
        <v>19294.759999999998</v>
      </c>
      <c r="G25" s="10">
        <v>15694.91</v>
      </c>
      <c r="H25" s="10">
        <v>20739.759999999998</v>
      </c>
      <c r="I25" s="10">
        <v>23476</v>
      </c>
      <c r="J25" s="10">
        <v>24679.42</v>
      </c>
      <c r="K25" s="10">
        <v>26949.1</v>
      </c>
    </row>
    <row r="26" spans="1:11">
      <c r="A26" t="s">
        <v>26</v>
      </c>
      <c r="B26" s="10">
        <v>-173.83</v>
      </c>
      <c r="C26" s="10">
        <v>2930.82</v>
      </c>
      <c r="D26" s="10">
        <v>5257.14</v>
      </c>
      <c r="E26" s="10">
        <v>-2918.71</v>
      </c>
      <c r="F26" s="10">
        <v>9181.9500000000007</v>
      </c>
      <c r="G26" s="10">
        <v>1925.39</v>
      </c>
      <c r="H26" s="10">
        <v>4457.7700000000004</v>
      </c>
      <c r="I26" s="10">
        <v>6279.27</v>
      </c>
      <c r="J26" s="10">
        <v>6600.03</v>
      </c>
      <c r="K26" s="10">
        <v>7299.69</v>
      </c>
    </row>
    <row r="27" spans="1:11">
      <c r="A27" t="s">
        <v>50</v>
      </c>
      <c r="B27" s="10">
        <v>-346.98</v>
      </c>
      <c r="C27" s="10">
        <v>2598.19</v>
      </c>
      <c r="D27" s="10">
        <v>1625.5</v>
      </c>
      <c r="E27" s="10">
        <v>2849.12</v>
      </c>
      <c r="F27" s="10">
        <v>5153.46</v>
      </c>
      <c r="G27" s="10">
        <v>723.23</v>
      </c>
      <c r="H27" s="10">
        <v>3397.53</v>
      </c>
      <c r="I27" s="10">
        <v>4499.91</v>
      </c>
      <c r="J27" s="10">
        <v>3941.73</v>
      </c>
      <c r="K27" s="10">
        <v>3657.81</v>
      </c>
    </row>
    <row r="28" spans="1:11">
      <c r="A28" t="s">
        <v>51</v>
      </c>
      <c r="B28" s="10">
        <v>173.15</v>
      </c>
      <c r="C28" s="10">
        <v>332.63</v>
      </c>
      <c r="D28" s="10">
        <v>3631.64</v>
      </c>
      <c r="E28" s="10">
        <v>-5767.83</v>
      </c>
      <c r="F28" s="10">
        <v>4028.49</v>
      </c>
      <c r="G28" s="10">
        <v>1202.1600000000001</v>
      </c>
      <c r="H28" s="10">
        <v>1060.24</v>
      </c>
      <c r="I28" s="10">
        <v>1779.36</v>
      </c>
      <c r="J28" s="10">
        <v>2658.3</v>
      </c>
      <c r="K28" s="10">
        <v>3641.88</v>
      </c>
    </row>
    <row r="29" spans="1:11">
      <c r="A29" t="s">
        <v>52</v>
      </c>
      <c r="B29" s="10">
        <v>10769.6</v>
      </c>
      <c r="C29" s="10">
        <v>9385.26</v>
      </c>
      <c r="D29" s="10">
        <v>10343.17</v>
      </c>
      <c r="E29" s="10">
        <v>11749.89</v>
      </c>
      <c r="F29" s="10">
        <v>10112.81</v>
      </c>
      <c r="G29" s="10">
        <v>13769.52</v>
      </c>
      <c r="H29" s="10">
        <v>16281.99</v>
      </c>
      <c r="I29" s="10">
        <v>17196.73</v>
      </c>
      <c r="J29" s="10">
        <v>18079.39</v>
      </c>
      <c r="K29" s="10">
        <v>19649.41</v>
      </c>
    </row>
    <row r="30" spans="1:11">
      <c r="A30" t="s">
        <v>53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</row>
    <row r="31" spans="1:11">
      <c r="A31" t="s">
        <v>54</v>
      </c>
      <c r="B31" s="10">
        <v>10769.6</v>
      </c>
      <c r="C31" s="10">
        <v>9385.26</v>
      </c>
      <c r="D31" s="10">
        <v>10343.17</v>
      </c>
      <c r="E31" s="10">
        <v>11749.89</v>
      </c>
      <c r="F31" s="10">
        <v>10112.81</v>
      </c>
      <c r="G31" s="10">
        <v>13769.52</v>
      </c>
      <c r="H31" s="10">
        <v>16281.99</v>
      </c>
      <c r="I31" s="10">
        <v>17196.73</v>
      </c>
      <c r="J31" s="10">
        <v>18079.39</v>
      </c>
      <c r="K31" s="10">
        <v>19649.41</v>
      </c>
    </row>
    <row r="32" spans="1:11">
      <c r="A32" t="s">
        <v>55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</row>
    <row r="33" spans="1:11">
      <c r="A33" t="s">
        <v>56</v>
      </c>
      <c r="B33" s="10">
        <v>13.06</v>
      </c>
      <c r="C33" s="10">
        <v>11.38</v>
      </c>
      <c r="D33" s="10">
        <v>10.45</v>
      </c>
      <c r="E33" s="10">
        <v>11.88</v>
      </c>
      <c r="F33" s="10">
        <v>10.220000000000001</v>
      </c>
      <c r="G33" s="10">
        <v>13.99</v>
      </c>
      <c r="H33" s="10">
        <v>16.79</v>
      </c>
      <c r="I33" s="10">
        <v>0</v>
      </c>
      <c r="J33" s="10">
        <v>18.64</v>
      </c>
      <c r="K33" s="10">
        <v>20.260000000000002</v>
      </c>
    </row>
    <row r="34" spans="1:11">
      <c r="A34" t="s">
        <v>57</v>
      </c>
      <c r="B34" s="10">
        <v>13.06</v>
      </c>
      <c r="C34" s="10">
        <v>11.38</v>
      </c>
      <c r="D34" s="10">
        <v>10.45</v>
      </c>
      <c r="E34" s="10">
        <v>11.88</v>
      </c>
      <c r="F34" s="10">
        <v>10.220000000000001</v>
      </c>
      <c r="G34" s="10">
        <v>13.99</v>
      </c>
      <c r="H34" s="10">
        <v>15.33</v>
      </c>
      <c r="I34" s="10">
        <v>0</v>
      </c>
      <c r="J34" s="10">
        <v>18.64</v>
      </c>
      <c r="K34" s="10">
        <v>20.260000000000002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55" customWidth="1"/>
    <col min="2" max="11" width="14" customWidth="1"/>
  </cols>
  <sheetData>
    <row r="1" spans="1:11">
      <c r="A1" s="9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</row>
    <row r="2" spans="1:11">
      <c r="A2" t="s">
        <v>27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</row>
    <row r="3" spans="1:11">
      <c r="A3" t="s">
        <v>58</v>
      </c>
      <c r="B3" s="10">
        <v>215138.32</v>
      </c>
      <c r="C3" s="10">
        <v>236577.49</v>
      </c>
      <c r="D3" s="10">
        <v>267832.09000000003</v>
      </c>
      <c r="E3" s="10">
        <v>290750.96000000002</v>
      </c>
      <c r="F3" s="10">
        <v>327667.45</v>
      </c>
      <c r="G3" s="10">
        <v>343176.92</v>
      </c>
      <c r="H3" s="10">
        <v>371140.44</v>
      </c>
      <c r="I3" s="10">
        <v>383674.45</v>
      </c>
      <c r="J3" s="10">
        <v>393294.53</v>
      </c>
      <c r="K3" s="10">
        <v>407917.66</v>
      </c>
    </row>
    <row r="4" spans="1:11">
      <c r="A4" t="s">
        <v>59</v>
      </c>
      <c r="B4" s="10">
        <v>91293.7</v>
      </c>
      <c r="C4" s="10">
        <v>96231.23</v>
      </c>
      <c r="D4" s="10">
        <v>101777.77</v>
      </c>
      <c r="E4" s="10">
        <v>107408.17</v>
      </c>
      <c r="F4" s="10">
        <v>113569.44</v>
      </c>
      <c r="G4" s="10">
        <v>118985.49</v>
      </c>
      <c r="H4" s="10">
        <v>128667.52</v>
      </c>
      <c r="I4" s="10">
        <v>138889.88</v>
      </c>
      <c r="J4" s="10">
        <v>149885.01999999999</v>
      </c>
      <c r="K4" s="10">
        <v>161640.54999999999</v>
      </c>
    </row>
    <row r="5" spans="1:11">
      <c r="A5" t="s">
        <v>60</v>
      </c>
      <c r="B5" s="10">
        <v>8245.4599999999991</v>
      </c>
      <c r="C5" s="10">
        <v>8245.4599999999991</v>
      </c>
      <c r="D5" s="10">
        <v>8245.4599999999991</v>
      </c>
      <c r="E5" s="10">
        <v>9894.56</v>
      </c>
      <c r="F5" s="10">
        <v>9894.56</v>
      </c>
      <c r="G5" s="10">
        <v>9696.67</v>
      </c>
      <c r="H5" s="10">
        <v>9696.67</v>
      </c>
      <c r="I5" s="10">
        <v>9696.67</v>
      </c>
      <c r="J5" s="10">
        <v>9696.67</v>
      </c>
      <c r="K5" s="10">
        <v>9696.67</v>
      </c>
    </row>
    <row r="6" spans="1:11">
      <c r="A6" t="s">
        <v>61</v>
      </c>
      <c r="B6" s="10">
        <v>83048.240000000005</v>
      </c>
      <c r="C6" s="10">
        <v>87985.77</v>
      </c>
      <c r="D6" s="10">
        <v>93532.31</v>
      </c>
      <c r="E6" s="10">
        <v>97513.61</v>
      </c>
      <c r="F6" s="10">
        <v>103674.88</v>
      </c>
      <c r="G6" s="10">
        <v>109288.82</v>
      </c>
      <c r="H6" s="10">
        <v>118970.85</v>
      </c>
      <c r="I6" s="10">
        <v>129193.21</v>
      </c>
      <c r="J6" s="10">
        <v>140188.35</v>
      </c>
      <c r="K6" s="10">
        <v>151943.88</v>
      </c>
    </row>
    <row r="7" spans="1:11">
      <c r="A7" t="s">
        <v>62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</row>
    <row r="8" spans="1:11">
      <c r="A8" t="s">
        <v>63</v>
      </c>
      <c r="B8" s="10">
        <v>92085.88</v>
      </c>
      <c r="C8" s="10">
        <v>104168.94</v>
      </c>
      <c r="D8" s="10">
        <v>123499.56</v>
      </c>
      <c r="E8" s="10">
        <v>127988.79</v>
      </c>
      <c r="F8" s="10">
        <v>159393.85</v>
      </c>
      <c r="G8" s="10">
        <v>166141.72</v>
      </c>
      <c r="H8" s="10">
        <v>174549.81</v>
      </c>
      <c r="I8" s="10">
        <v>170049.43</v>
      </c>
      <c r="J8" s="10">
        <v>162777.34</v>
      </c>
      <c r="K8" s="10">
        <v>164575.65</v>
      </c>
    </row>
    <row r="9" spans="1:11">
      <c r="A9" t="s">
        <v>64</v>
      </c>
      <c r="B9" s="10">
        <v>85096.95</v>
      </c>
      <c r="C9" s="10">
        <v>97339.28</v>
      </c>
      <c r="D9" s="10">
        <v>108697.60000000001</v>
      </c>
      <c r="E9" s="10">
        <v>119698.08</v>
      </c>
      <c r="F9" s="10">
        <v>146538.70000000001</v>
      </c>
      <c r="G9" s="10">
        <v>151229.62</v>
      </c>
      <c r="H9" s="10">
        <v>160122.17000000001</v>
      </c>
      <c r="I9" s="10">
        <v>156315.69</v>
      </c>
      <c r="J9" s="10">
        <v>146159.07</v>
      </c>
      <c r="K9" s="10">
        <v>144365.56</v>
      </c>
    </row>
    <row r="10" spans="1:11">
      <c r="A10" t="s">
        <v>65</v>
      </c>
      <c r="B10" s="10">
        <v>436.41</v>
      </c>
      <c r="C10" s="10">
        <v>463.15</v>
      </c>
      <c r="D10" s="10">
        <v>480.9</v>
      </c>
      <c r="E10" s="10">
        <v>588.74</v>
      </c>
      <c r="F10" s="10">
        <v>826.74</v>
      </c>
      <c r="G10" s="10">
        <v>1174.21</v>
      </c>
      <c r="H10" s="10">
        <v>1446.48</v>
      </c>
      <c r="I10" s="10">
        <v>1727.78</v>
      </c>
      <c r="J10" s="10">
        <v>1898.03</v>
      </c>
      <c r="K10" s="10">
        <v>1937.69</v>
      </c>
    </row>
    <row r="11" spans="1:11">
      <c r="A11" t="s">
        <v>66</v>
      </c>
      <c r="B11" s="10">
        <v>1152.21</v>
      </c>
      <c r="C11" s="10">
        <v>1484.84</v>
      </c>
      <c r="D11" s="10">
        <v>10047.16</v>
      </c>
      <c r="E11" s="10">
        <v>4200.1400000000003</v>
      </c>
      <c r="F11" s="10">
        <v>8093.98</v>
      </c>
      <c r="G11" s="10">
        <v>9160.99</v>
      </c>
      <c r="H11" s="10">
        <v>10184.39</v>
      </c>
      <c r="I11" s="10">
        <v>10614.07</v>
      </c>
      <c r="J11" s="10">
        <v>13066.53</v>
      </c>
      <c r="K11" s="10">
        <v>16527.060000000001</v>
      </c>
    </row>
    <row r="12" spans="1:11">
      <c r="A12" t="s">
        <v>67</v>
      </c>
      <c r="B12" s="10">
        <v>5400.31</v>
      </c>
      <c r="C12" s="10">
        <v>4881.67</v>
      </c>
      <c r="D12" s="10">
        <v>4273.8999999999996</v>
      </c>
      <c r="E12" s="10">
        <v>3501.83</v>
      </c>
      <c r="F12" s="10">
        <v>3934.43</v>
      </c>
      <c r="G12" s="10">
        <v>4576.8999999999996</v>
      </c>
      <c r="H12" s="10">
        <v>2796.77</v>
      </c>
      <c r="I12" s="10">
        <v>1391.89</v>
      </c>
      <c r="J12" s="10">
        <v>1653.71</v>
      </c>
      <c r="K12" s="10">
        <v>1745.34</v>
      </c>
    </row>
    <row r="13" spans="1:11">
      <c r="A13" t="s">
        <v>68</v>
      </c>
      <c r="B13" s="10">
        <v>31758.74</v>
      </c>
      <c r="C13" s="10">
        <v>36177.32</v>
      </c>
      <c r="D13" s="10">
        <v>42554.76</v>
      </c>
      <c r="E13" s="10">
        <v>55354</v>
      </c>
      <c r="F13" s="10">
        <v>54704.160000000003</v>
      </c>
      <c r="G13" s="10">
        <v>58049.71</v>
      </c>
      <c r="H13" s="10">
        <v>67923.11</v>
      </c>
      <c r="I13" s="10">
        <v>74735.14</v>
      </c>
      <c r="J13" s="10">
        <v>80632.17</v>
      </c>
      <c r="K13" s="10">
        <v>81701.460000000006</v>
      </c>
    </row>
    <row r="14" spans="1:11">
      <c r="A14" t="s">
        <v>69</v>
      </c>
      <c r="B14" s="10">
        <v>1299.5</v>
      </c>
      <c r="C14" s="10">
        <v>3000.56</v>
      </c>
      <c r="D14" s="10">
        <v>6500.32</v>
      </c>
      <c r="E14" s="10">
        <v>15376.09</v>
      </c>
      <c r="F14" s="10">
        <v>14049.36</v>
      </c>
      <c r="G14" s="10">
        <v>23258.99</v>
      </c>
      <c r="H14" s="10">
        <v>24472.43</v>
      </c>
      <c r="I14" s="10">
        <v>29969.15</v>
      </c>
      <c r="J14" s="10">
        <v>39059.550000000003</v>
      </c>
      <c r="K14" s="10">
        <v>40878.01</v>
      </c>
    </row>
    <row r="15" spans="1:11">
      <c r="A15" t="s">
        <v>70</v>
      </c>
      <c r="B15" s="10">
        <v>5311.64</v>
      </c>
      <c r="C15" s="10">
        <v>4876.08</v>
      </c>
      <c r="D15" s="10">
        <v>5592.64</v>
      </c>
      <c r="E15" s="10">
        <v>7550.94</v>
      </c>
      <c r="F15" s="10">
        <v>9000.6299999999992</v>
      </c>
      <c r="G15" s="10">
        <v>7182.47</v>
      </c>
      <c r="H15" s="10">
        <v>9734.35</v>
      </c>
      <c r="I15" s="10">
        <v>9598.1</v>
      </c>
      <c r="J15" s="10">
        <v>9474.66</v>
      </c>
      <c r="K15" s="10">
        <v>9566.69</v>
      </c>
    </row>
    <row r="16" spans="1:11">
      <c r="A16" t="s">
        <v>71</v>
      </c>
      <c r="B16" s="10">
        <v>6926.99</v>
      </c>
      <c r="C16" s="10">
        <v>8040.12</v>
      </c>
      <c r="D16" s="10">
        <v>8088.83</v>
      </c>
      <c r="E16" s="10">
        <v>6840.36</v>
      </c>
      <c r="F16" s="10">
        <v>6639.17</v>
      </c>
      <c r="G16" s="10">
        <v>6928.09</v>
      </c>
      <c r="H16" s="10">
        <v>7305.48</v>
      </c>
      <c r="I16" s="10">
        <v>7533.22</v>
      </c>
      <c r="J16" s="10">
        <v>6376.21</v>
      </c>
      <c r="K16" s="10">
        <v>6412.48</v>
      </c>
    </row>
    <row r="17" spans="1:11">
      <c r="A17" t="s">
        <v>72</v>
      </c>
      <c r="B17" s="10">
        <v>18220.61</v>
      </c>
      <c r="C17" s="10">
        <v>20260.560000000001</v>
      </c>
      <c r="D17" s="10">
        <v>22372.97</v>
      </c>
      <c r="E17" s="10">
        <v>25586.61</v>
      </c>
      <c r="F17" s="10">
        <v>25015</v>
      </c>
      <c r="G17" s="10">
        <v>20680.16</v>
      </c>
      <c r="H17" s="10">
        <v>26410.85</v>
      </c>
      <c r="I17" s="10">
        <v>27634.67</v>
      </c>
      <c r="J17" s="10">
        <v>25721.75</v>
      </c>
      <c r="K17" s="10">
        <v>24844.28</v>
      </c>
    </row>
    <row r="18" spans="1:11">
      <c r="A18" t="s">
        <v>73</v>
      </c>
      <c r="B18" s="10">
        <v>215138.32</v>
      </c>
      <c r="C18" s="10">
        <v>236577.49</v>
      </c>
      <c r="D18" s="10">
        <v>267832.09000000003</v>
      </c>
      <c r="E18" s="10">
        <v>290750.96000000002</v>
      </c>
      <c r="F18" s="10">
        <v>327667.45</v>
      </c>
      <c r="G18" s="10">
        <v>343176.92</v>
      </c>
      <c r="H18" s="10">
        <v>371140.44</v>
      </c>
      <c r="I18" s="10">
        <v>383674.45</v>
      </c>
      <c r="J18" s="10">
        <v>393294.53</v>
      </c>
      <c r="K18" s="10">
        <v>407917.66</v>
      </c>
    </row>
    <row r="19" spans="1:11">
      <c r="A19" t="s">
        <v>74</v>
      </c>
      <c r="B19" s="10">
        <v>185381.87</v>
      </c>
      <c r="C19" s="10">
        <v>208177.59</v>
      </c>
      <c r="D19" s="10">
        <v>231100.84</v>
      </c>
      <c r="E19" s="10">
        <v>248617.22</v>
      </c>
      <c r="F19" s="10">
        <v>279162.59000000003</v>
      </c>
      <c r="G19" s="10">
        <v>295633.71000000002</v>
      </c>
      <c r="H19" s="10">
        <v>319921.96000000002</v>
      </c>
      <c r="I19" s="10">
        <v>317741.40000000002</v>
      </c>
      <c r="J19" s="10">
        <v>320821.2</v>
      </c>
      <c r="K19" s="10">
        <v>331610.87</v>
      </c>
    </row>
    <row r="20" spans="1:11">
      <c r="A20" t="s">
        <v>75</v>
      </c>
      <c r="B20" s="10">
        <v>91773.25</v>
      </c>
      <c r="C20" s="10">
        <v>99355.72</v>
      </c>
      <c r="D20" s="10">
        <v>119759.17</v>
      </c>
      <c r="E20" s="10">
        <v>125620.62</v>
      </c>
      <c r="F20" s="10">
        <v>156811.29999999999</v>
      </c>
      <c r="G20" s="10">
        <v>164448.85999999999</v>
      </c>
      <c r="H20" s="10">
        <v>195570.54</v>
      </c>
      <c r="I20" s="10">
        <v>196895.88</v>
      </c>
      <c r="J20" s="10">
        <v>211751.12</v>
      </c>
      <c r="K20" s="10">
        <v>211348.91</v>
      </c>
    </row>
    <row r="21" spans="1:11">
      <c r="A21" t="s">
        <v>76</v>
      </c>
      <c r="B21" s="10">
        <v>66423.199999999997</v>
      </c>
      <c r="C21" s="10">
        <v>80737.09</v>
      </c>
      <c r="D21" s="10">
        <v>79076.27</v>
      </c>
      <c r="E21" s="10">
        <v>91206.69</v>
      </c>
      <c r="F21" s="10">
        <v>73359.28</v>
      </c>
      <c r="G21" s="10">
        <v>75438.5</v>
      </c>
      <c r="H21" s="10">
        <v>73617.58</v>
      </c>
      <c r="I21" s="10">
        <v>61788.800000000003</v>
      </c>
      <c r="J21" s="10">
        <v>47157</v>
      </c>
      <c r="K21" s="10">
        <v>52330.080000000002</v>
      </c>
    </row>
    <row r="22" spans="1:11">
      <c r="A22" t="s">
        <v>77</v>
      </c>
      <c r="B22" s="10">
        <v>8014.32</v>
      </c>
      <c r="C22" s="10">
        <v>8248.11</v>
      </c>
      <c r="D22" s="10">
        <v>10047.48</v>
      </c>
      <c r="E22" s="10">
        <v>13145.94</v>
      </c>
      <c r="F22" s="10">
        <v>26400.89</v>
      </c>
      <c r="G22" s="10">
        <v>28125.65</v>
      </c>
      <c r="H22" s="10">
        <v>23249.37</v>
      </c>
      <c r="I22" s="10">
        <v>30184.93</v>
      </c>
      <c r="J22" s="10">
        <v>33967.83</v>
      </c>
      <c r="K22" s="10">
        <v>35914.06</v>
      </c>
    </row>
    <row r="23" spans="1:11">
      <c r="A23" t="s">
        <v>78</v>
      </c>
      <c r="B23" s="10">
        <v>440.93</v>
      </c>
      <c r="C23" s="10">
        <v>530.59</v>
      </c>
      <c r="D23" s="10">
        <v>655.67</v>
      </c>
      <c r="E23" s="10">
        <v>544.38</v>
      </c>
      <c r="F23" s="10">
        <v>600.26</v>
      </c>
      <c r="G23" s="10">
        <v>1498.12</v>
      </c>
      <c r="H23" s="10">
        <v>1288.5</v>
      </c>
      <c r="I23" s="10">
        <v>1233.47</v>
      </c>
      <c r="J23" s="10">
        <v>800.66</v>
      </c>
      <c r="K23" s="10">
        <v>984.26</v>
      </c>
    </row>
    <row r="24" spans="1:11">
      <c r="A24" t="s">
        <v>79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</row>
    <row r="25" spans="1:11">
      <c r="A25" t="s">
        <v>80</v>
      </c>
      <c r="B25" s="10">
        <v>18730.169999999998</v>
      </c>
      <c r="C25" s="10">
        <v>19306.080000000002</v>
      </c>
      <c r="D25" s="10">
        <v>21562.25</v>
      </c>
      <c r="E25" s="10">
        <v>18099.59</v>
      </c>
      <c r="F25" s="10">
        <v>21990.86</v>
      </c>
      <c r="G25" s="10">
        <v>26122.58</v>
      </c>
      <c r="H25" s="10">
        <v>26195.97</v>
      </c>
      <c r="I25" s="10">
        <v>27638.32</v>
      </c>
      <c r="J25" s="10">
        <v>27144.59</v>
      </c>
      <c r="K25" s="10">
        <v>31033.56</v>
      </c>
    </row>
    <row r="26" spans="1:11">
      <c r="A26" t="s">
        <v>81</v>
      </c>
      <c r="B26" s="10">
        <v>29756.45</v>
      </c>
      <c r="C26" s="10">
        <v>28399.9</v>
      </c>
      <c r="D26" s="10">
        <v>36731.25</v>
      </c>
      <c r="E26" s="10">
        <v>42133.74</v>
      </c>
      <c r="F26" s="10">
        <v>48504.86</v>
      </c>
      <c r="G26" s="10">
        <v>47543.21</v>
      </c>
      <c r="H26" s="10">
        <v>51218.48</v>
      </c>
      <c r="I26" s="10">
        <v>65933.05</v>
      </c>
      <c r="J26" s="10">
        <v>72473.33</v>
      </c>
      <c r="K26" s="10">
        <v>76306.789999999994</v>
      </c>
    </row>
    <row r="27" spans="1:11">
      <c r="A27" t="s">
        <v>82</v>
      </c>
      <c r="B27" s="10">
        <v>378.72</v>
      </c>
      <c r="C27" s="10">
        <v>0</v>
      </c>
      <c r="D27" s="10">
        <v>0</v>
      </c>
      <c r="E27" s="10">
        <v>0</v>
      </c>
      <c r="F27" s="10">
        <v>0</v>
      </c>
      <c r="G27" s="10">
        <v>499.99</v>
      </c>
      <c r="H27" s="10">
        <v>0</v>
      </c>
      <c r="I27" s="10">
        <v>50</v>
      </c>
      <c r="J27" s="10">
        <v>50</v>
      </c>
      <c r="K27" s="10">
        <v>50</v>
      </c>
    </row>
    <row r="28" spans="1:11">
      <c r="A28" t="s">
        <v>83</v>
      </c>
      <c r="B28" s="10">
        <v>7010.37</v>
      </c>
      <c r="C28" s="10">
        <v>6504.81</v>
      </c>
      <c r="D28" s="10">
        <v>6057.38</v>
      </c>
      <c r="E28" s="10">
        <v>7988.02</v>
      </c>
      <c r="F28" s="10">
        <v>10731.86</v>
      </c>
      <c r="G28" s="10">
        <v>9178.94</v>
      </c>
      <c r="H28" s="10">
        <v>9691</v>
      </c>
      <c r="I28" s="10">
        <v>13679.75</v>
      </c>
      <c r="J28" s="10">
        <v>17369.830000000002</v>
      </c>
      <c r="K28" s="10">
        <v>17847.86</v>
      </c>
    </row>
    <row r="29" spans="1:11">
      <c r="A29" t="s">
        <v>84</v>
      </c>
      <c r="B29" s="10">
        <v>7732.22</v>
      </c>
      <c r="C29" s="10">
        <v>8137.92</v>
      </c>
      <c r="D29" s="10">
        <v>7577.97</v>
      </c>
      <c r="E29" s="10">
        <v>8433.86</v>
      </c>
      <c r="F29" s="10">
        <v>15615.19</v>
      </c>
      <c r="G29" s="10">
        <v>22976.26</v>
      </c>
      <c r="H29" s="10">
        <v>24747.45</v>
      </c>
      <c r="I29" s="10">
        <v>26028.639999999999</v>
      </c>
      <c r="J29" s="10">
        <v>27347.52</v>
      </c>
      <c r="K29" s="10">
        <v>28734.54</v>
      </c>
    </row>
    <row r="30" spans="1:11">
      <c r="A30" t="s">
        <v>85</v>
      </c>
      <c r="B30" s="10">
        <v>4460.78</v>
      </c>
      <c r="C30" s="10">
        <v>2930.49</v>
      </c>
      <c r="D30" s="10">
        <v>3978.38</v>
      </c>
      <c r="E30" s="10">
        <v>2144.34</v>
      </c>
      <c r="F30" s="10">
        <v>2209.11</v>
      </c>
      <c r="G30" s="10">
        <v>2338.46</v>
      </c>
      <c r="H30" s="10">
        <v>2747.18</v>
      </c>
      <c r="I30" s="10">
        <v>3741.73</v>
      </c>
      <c r="J30" s="10">
        <v>4600.5</v>
      </c>
      <c r="K30" s="10">
        <v>4778.57</v>
      </c>
    </row>
    <row r="31" spans="1:11">
      <c r="A31" t="s">
        <v>86</v>
      </c>
      <c r="B31" s="10">
        <v>251.78</v>
      </c>
      <c r="C31" s="10">
        <v>236.92</v>
      </c>
      <c r="D31" s="10">
        <v>280.22000000000003</v>
      </c>
      <c r="E31" s="10">
        <v>305.79000000000002</v>
      </c>
      <c r="F31" s="10">
        <v>308.56</v>
      </c>
      <c r="G31" s="10">
        <v>416.82</v>
      </c>
      <c r="H31" s="10">
        <v>313.45</v>
      </c>
      <c r="I31" s="10">
        <v>312.45</v>
      </c>
      <c r="J31" s="10">
        <v>415.85</v>
      </c>
      <c r="K31" s="10">
        <v>348.8</v>
      </c>
    </row>
    <row r="32" spans="1:11">
      <c r="A32" t="s">
        <v>87</v>
      </c>
      <c r="B32" s="10">
        <v>9922.58</v>
      </c>
      <c r="C32" s="10">
        <v>10589.76</v>
      </c>
      <c r="D32" s="10">
        <v>18837.3</v>
      </c>
      <c r="E32" s="10">
        <v>23261.73</v>
      </c>
      <c r="F32" s="10">
        <v>19640.14</v>
      </c>
      <c r="G32" s="10">
        <v>12132.74</v>
      </c>
      <c r="H32" s="10">
        <v>13719.4</v>
      </c>
      <c r="I32" s="10">
        <v>22120.48</v>
      </c>
      <c r="J32" s="10">
        <v>22689.63</v>
      </c>
      <c r="K32" s="10">
        <v>24547.02</v>
      </c>
    </row>
    <row r="33" spans="1:11">
      <c r="A33" t="s">
        <v>88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</row>
    <row r="34" spans="1:11">
      <c r="A34" t="s">
        <v>89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</row>
    <row r="35" spans="1:11">
      <c r="A35" t="s">
        <v>90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</row>
    <row r="36" spans="1:11">
      <c r="A36" t="s">
        <v>91</v>
      </c>
      <c r="B36" s="10">
        <v>19257.68</v>
      </c>
      <c r="C36" s="10">
        <v>27910.81</v>
      </c>
      <c r="D36" s="10">
        <v>33667.78</v>
      </c>
      <c r="E36" s="10">
        <v>36430.61</v>
      </c>
      <c r="F36" s="10">
        <v>30837.78</v>
      </c>
      <c r="G36" s="10">
        <v>43066.09</v>
      </c>
      <c r="H36" s="10">
        <v>33980.49</v>
      </c>
      <c r="I36" s="10">
        <v>24169.45</v>
      </c>
      <c r="J36" s="10">
        <v>24046.639999999999</v>
      </c>
      <c r="K36" s="10">
        <v>23284</v>
      </c>
    </row>
    <row r="37" spans="1:11">
      <c r="A37" t="s">
        <v>92</v>
      </c>
      <c r="B37" s="10">
        <v>0</v>
      </c>
      <c r="C37" s="10">
        <v>48607.62</v>
      </c>
      <c r="D37" s="10">
        <v>38119.11</v>
      </c>
      <c r="E37" s="10">
        <v>38806.339999999997</v>
      </c>
      <c r="F37" s="10">
        <v>50428.89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</row>
    <row r="38" spans="1:11">
      <c r="A38" t="s">
        <v>93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</row>
    <row r="39" spans="1:11">
      <c r="A39" t="s">
        <v>94</v>
      </c>
      <c r="B39" s="10">
        <v>0</v>
      </c>
      <c r="C39" s="10">
        <v>10024.75</v>
      </c>
      <c r="D39" s="10">
        <v>14897.77</v>
      </c>
      <c r="E39" s="10">
        <v>18145.36</v>
      </c>
      <c r="F39" s="10">
        <v>30976.57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</row>
    <row r="40" spans="1:11">
      <c r="A40" t="s">
        <v>95</v>
      </c>
      <c r="B40" s="10">
        <v>19257.68</v>
      </c>
      <c r="C40" s="10">
        <v>86543.18</v>
      </c>
      <c r="D40" s="10">
        <v>86684.66</v>
      </c>
      <c r="E40" s="10">
        <v>93382.31</v>
      </c>
      <c r="F40" s="10">
        <v>112243.24</v>
      </c>
      <c r="G40" s="10">
        <v>43066.09</v>
      </c>
      <c r="H40" s="10">
        <v>33980.49</v>
      </c>
      <c r="I40" s="10">
        <v>24169.45</v>
      </c>
      <c r="J40" s="10">
        <v>24046.639999999999</v>
      </c>
      <c r="K40" s="10">
        <v>23284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8"/>
  <sheetViews>
    <sheetView tabSelected="1" workbookViewId="0">
      <pane xSplit="1" ySplit="4" topLeftCell="B6" activePane="bottomRight" state="frozen"/>
      <selection pane="topRight"/>
      <selection pane="bottomLeft"/>
      <selection pane="bottomRight" activeCell="A38" sqref="A38"/>
    </sheetView>
  </sheetViews>
  <sheetFormatPr defaultRowHeight="14.4"/>
  <cols>
    <col min="1" max="1" width="69.5546875" customWidth="1"/>
    <col min="2" max="2" width="14" customWidth="1"/>
    <col min="3" max="3" width="25.109375" customWidth="1"/>
    <col min="4" max="11" width="14" customWidth="1"/>
  </cols>
  <sheetData>
    <row r="1" spans="1:11" ht="21">
      <c r="A1" s="17" t="s">
        <v>96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15" t="s">
        <v>97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1">
      <c r="A4" s="1" t="s">
        <v>98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>
      <c r="A5" s="11" t="s">
        <v>99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2" t="s">
        <v>100</v>
      </c>
      <c r="B6" s="13">
        <f>'Reconstructed P&amp;L'!B7/'Reconstructed P&amp;L'!B5*100</f>
        <v>38.175840627430965</v>
      </c>
      <c r="C6" s="13">
        <f>'Reconstructed P&amp;L'!C7/'Reconstructed P&amp;L'!C5*100</f>
        <v>39.427312046139569</v>
      </c>
      <c r="D6" s="13">
        <f>'Reconstructed P&amp;L'!D7/'Reconstructed P&amp;L'!D5*100</f>
        <v>42.766753292882136</v>
      </c>
      <c r="E6" s="13">
        <f>'Reconstructed P&amp;L'!E7/'Reconstructed P&amp;L'!E5*100</f>
        <v>36.151362921580009</v>
      </c>
      <c r="F6" s="13">
        <f>'Reconstructed P&amp;L'!F7/'Reconstructed P&amp;L'!F5*100</f>
        <v>44.388288100866454</v>
      </c>
      <c r="G6" s="13">
        <f>'Reconstructed P&amp;L'!G7/'Reconstructed P&amp;L'!G5*100</f>
        <v>44.664776175654261</v>
      </c>
      <c r="H6" s="13">
        <f>'Reconstructed P&amp;L'!H7/'Reconstructed P&amp;L'!H5*100</f>
        <v>42.882068192426424</v>
      </c>
      <c r="I6" s="13">
        <f>'Reconstructed P&amp;L'!I7/'Reconstructed P&amp;L'!I5*100</f>
        <v>38.406316315342174</v>
      </c>
      <c r="J6" s="13">
        <f>'Reconstructed P&amp;L'!J7/'Reconstructed P&amp;L'!J5*100</f>
        <v>39.979631391317568</v>
      </c>
      <c r="K6" s="13">
        <f>'Reconstructed P&amp;L'!K7/'Reconstructed P&amp;L'!K5*100</f>
        <v>41.835650830714982</v>
      </c>
    </row>
    <row r="7" spans="1:11">
      <c r="A7" s="12" t="s">
        <v>101</v>
      </c>
      <c r="B7" s="13">
        <f>'Reconstructed P&amp;L'!B9/'Reconstructed P&amp;L'!B5*100</f>
        <v>17.964632336967764</v>
      </c>
      <c r="C7" s="13">
        <f>'Reconstructed P&amp;L'!C9/'Reconstructed P&amp;L'!C5*100</f>
        <v>19.898007776171749</v>
      </c>
      <c r="D7" s="13">
        <f>'Reconstructed P&amp;L'!D9/'Reconstructed P&amp;L'!D5*100</f>
        <v>20.561157973580833</v>
      </c>
      <c r="E7" s="13">
        <f>'Reconstructed P&amp;L'!E9/'Reconstructed P&amp;L'!E5*100</f>
        <v>13.503316733762331</v>
      </c>
      <c r="F7" s="13">
        <f>'Reconstructed P&amp;L'!F9/'Reconstructed P&amp;L'!F5*100</f>
        <v>22.723968569743469</v>
      </c>
      <c r="G7" s="13">
        <f>'Reconstructed P&amp;L'!G9/'Reconstructed P&amp;L'!G5*100</f>
        <v>19.973984541042331</v>
      </c>
      <c r="H7" s="13">
        <f>'Reconstructed P&amp;L'!H9/'Reconstructed P&amp;L'!H5*100</f>
        <v>20.704299848159263</v>
      </c>
      <c r="I7" s="13">
        <f>'Reconstructed P&amp;L'!I9/'Reconstructed P&amp;L'!I5*100</f>
        <v>18.078703663983553</v>
      </c>
      <c r="J7" s="13">
        <f>'Reconstructed P&amp;L'!J9/'Reconstructed P&amp;L'!J5*100</f>
        <v>18.632324240299319</v>
      </c>
      <c r="K7" s="13">
        <f>'Reconstructed P&amp;L'!K9/'Reconstructed P&amp;L'!K5*100</f>
        <v>19.400061390226149</v>
      </c>
    </row>
    <row r="8" spans="1:11">
      <c r="A8" s="12" t="s">
        <v>102</v>
      </c>
      <c r="B8" s="13">
        <f>'Reconstructed P&amp;L'!B16/'Reconstructed P&amp;L'!B5*100</f>
        <v>15.201892727113353</v>
      </c>
      <c r="C8" s="13">
        <f>'Reconstructed P&amp;L'!C16/'Reconstructed P&amp;L'!C5*100</f>
        <v>11.950057908745594</v>
      </c>
      <c r="D8" s="13">
        <f>'Reconstructed P&amp;L'!D16/'Reconstructed P&amp;L'!D5*100</f>
        <v>11.927974347723051</v>
      </c>
      <c r="E8" s="13">
        <f>'Reconstructed P&amp;L'!E16/'Reconstructed P&amp;L'!E5*100</f>
        <v>13.589015069375751</v>
      </c>
      <c r="F8" s="13">
        <f>'Reconstructed P&amp;L'!F16/'Reconstructed P&amp;L'!F5*100</f>
        <v>9.8633433607177103</v>
      </c>
      <c r="G8" s="13">
        <f>'Reconstructed P&amp;L'!G16/'Reconstructed P&amp;L'!G5*100</f>
        <v>13.635063277514108</v>
      </c>
      <c r="H8" s="13">
        <f>'Reconstructed P&amp;L'!H16/'Reconstructed P&amp;L'!H5*100</f>
        <v>13.281772961974223</v>
      </c>
      <c r="I8" s="13">
        <f>'Reconstructed P&amp;L'!I16/'Reconstructed P&amp;L'!I5*100</f>
        <v>10.538588742107729</v>
      </c>
      <c r="J8" s="13">
        <f>'Reconstructed P&amp;L'!J16/'Reconstructed P&amp;L'!J5*100</f>
        <v>11.081914538883634</v>
      </c>
      <c r="K8" s="13">
        <f>'Reconstructed P&amp;L'!K16/'Reconstructed P&amp;L'!K5*100</f>
        <v>11.335103585478798</v>
      </c>
    </row>
    <row r="9" spans="1:11">
      <c r="A9" s="12" t="s">
        <v>103</v>
      </c>
      <c r="B9" s="13">
        <f>'Reconstructed P&amp;L'!B16/91293.7*100</f>
        <v>11.796651904786422</v>
      </c>
      <c r="C9" s="13">
        <f>'Reconstructed P&amp;L'!C16/96231.23*100</f>
        <v>9.752821407353931</v>
      </c>
      <c r="D9" s="13">
        <f>'Reconstructed P&amp;L'!D16/101777.77*100</f>
        <v>10.162504051719743</v>
      </c>
      <c r="E9" s="13">
        <f>'Reconstructed P&amp;L'!E16/107408.17*100</f>
        <v>10.939475088347562</v>
      </c>
      <c r="F9" s="13">
        <f>'Reconstructed P&amp;L'!F16/113569.44*100</f>
        <v>8.9045169193402653</v>
      </c>
      <c r="G9" s="13">
        <f>'Reconstructed P&amp;L'!G16/118985.49*100</f>
        <v>11.572436269329986</v>
      </c>
      <c r="H9" s="13">
        <f>'Reconstructed P&amp;L'!H16/128667.52*100</f>
        <v>12.654312448083235</v>
      </c>
      <c r="I9" s="13">
        <f>'Reconstructed P&amp;L'!I16/138889.88*100</f>
        <v>12.381557245207494</v>
      </c>
      <c r="J9" s="13">
        <f>'Reconstructed P&amp;L'!J16/149885.02*100</f>
        <v>12.062172724132143</v>
      </c>
      <c r="K9" s="13">
        <f>'Reconstructed P&amp;L'!K16/161640.55*100</f>
        <v>12.156238023194062</v>
      </c>
    </row>
    <row r="10" spans="1:11">
      <c r="A10" s="12" t="s">
        <v>104</v>
      </c>
      <c r="B10" s="13">
        <f>'Reconstructed P&amp;L'!B9/176390.65*100</f>
        <v>7.2151386708989405</v>
      </c>
      <c r="C10" s="13">
        <f>'Reconstructed P&amp;L'!C9/193570.51*100</f>
        <v>8.0732183843499694</v>
      </c>
      <c r="D10" s="13">
        <f>'Reconstructed P&amp;L'!D9/210475.37*100</f>
        <v>8.4709721617308489</v>
      </c>
      <c r="E10" s="13">
        <f>'Reconstructed P&amp;L'!E9/227106.25*100</f>
        <v>5.1411134656135609</v>
      </c>
      <c r="F10" s="13">
        <f>'Reconstructed P&amp;L'!F9/260108.14*100</f>
        <v>8.9573167529474436</v>
      </c>
      <c r="G10" s="13">
        <f>'Reconstructed P&amp;L'!G9/270215.11*100</f>
        <v>7.464775008325776</v>
      </c>
      <c r="H10" s="13">
        <f>'Reconstructed P&amp;L'!H9/288789.69*100</f>
        <v>8.7888144483274271</v>
      </c>
      <c r="I10" s="13">
        <f>'Reconstructed P&amp;L'!I9/295205.57*100</f>
        <v>9.9932362387335694</v>
      </c>
      <c r="J10" s="13">
        <f>'Reconstructed P&amp;L'!J9/296044.089999999*100</f>
        <v>10.267852332400929</v>
      </c>
      <c r="K10" s="13">
        <f>'Reconstructed P&amp;L'!K9/306006.11*100</f>
        <v>10.989983173865387</v>
      </c>
    </row>
    <row r="11" spans="1:11">
      <c r="A11" s="11" t="s">
        <v>105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2" t="s">
        <v>106</v>
      </c>
      <c r="B12" s="14">
        <f>29756.45/31758.74</f>
        <v>0.93695310330321668</v>
      </c>
      <c r="C12" s="14">
        <f>28399.9/36177.32</f>
        <v>0.78501945417736863</v>
      </c>
      <c r="D12" s="14">
        <f>36731.25/42554.76</f>
        <v>0.863152559196668</v>
      </c>
      <c r="E12" s="14">
        <f>42133.74/55354</f>
        <v>0.76116884055352818</v>
      </c>
      <c r="F12" s="14">
        <f>48504.86/54704.16</f>
        <v>0.8866758944840758</v>
      </c>
      <c r="G12" s="14">
        <f>47543.21/58049.71</f>
        <v>0.81900857041318553</v>
      </c>
      <c r="H12" s="14">
        <f>51218.48/67923.11</f>
        <v>0.75406558975288385</v>
      </c>
      <c r="I12" s="14">
        <f>65933.05/74735.14</f>
        <v>0.88222287400545452</v>
      </c>
      <c r="J12" s="14">
        <f>72473.33/80632.17</f>
        <v>0.8988140837583809</v>
      </c>
      <c r="K12" s="14">
        <f>76306.79/81701.46</f>
        <v>0.93397094739800224</v>
      </c>
    </row>
    <row r="13" spans="1:11">
      <c r="A13" s="12" t="s">
        <v>107</v>
      </c>
      <c r="B13" s="14">
        <f>(29756.45-7010.37)/31758.74</f>
        <v>0.71621481204858883</v>
      </c>
      <c r="C13" s="14">
        <f>(28399.9-6504.81)/36177.32</f>
        <v>0.6052159198083219</v>
      </c>
      <c r="D13" s="14">
        <f>(36731.25-6057.38)/42554.76</f>
        <v>0.72080937596640182</v>
      </c>
      <c r="E13" s="14">
        <f>(42133.74-7988.02)/55354</f>
        <v>0.61686093145933452</v>
      </c>
      <c r="F13" s="14">
        <f>(48504.86-10731.86)/54704.16</f>
        <v>0.69049593303324641</v>
      </c>
      <c r="G13" s="14">
        <f>(47543.21-9178.94)/58049.71</f>
        <v>0.6608865057207004</v>
      </c>
      <c r="H13" s="14">
        <f>(51218.48-9691)/67923.11</f>
        <v>0.61138955504245907</v>
      </c>
      <c r="I13" s="14">
        <f>(65933.05-13679.75)/74735.14</f>
        <v>0.69917979681311904</v>
      </c>
      <c r="J13" s="14">
        <f>(72473.33-17369.83)/80632.17</f>
        <v>0.68339348922396603</v>
      </c>
      <c r="K13" s="14">
        <f>(76306.79-17847.86)/81701.46</f>
        <v>0.71551879244263183</v>
      </c>
    </row>
    <row r="14" spans="1:11">
      <c r="A14" s="12" t="s">
        <v>108</v>
      </c>
      <c r="B14" s="14">
        <f>(4460.78+378.72)/31758.74</f>
        <v>0.1523832494614081</v>
      </c>
      <c r="C14" s="14">
        <f>(2930.49+0)/36177.32</f>
        <v>8.1003512698010788E-2</v>
      </c>
      <c r="D14" s="14">
        <f>(3978.38+0)/42554.76</f>
        <v>9.348848401447922E-2</v>
      </c>
      <c r="E14" s="14">
        <f>(2144.34+0)/55354</f>
        <v>3.8738663872529541E-2</v>
      </c>
      <c r="F14" s="14">
        <f>(2209.11+0)/54704.16</f>
        <v>4.038285205366466E-2</v>
      </c>
      <c r="G14" s="14">
        <f>(2338.46+499.99)/58049.71</f>
        <v>4.8896885100717984E-2</v>
      </c>
      <c r="H14" s="14">
        <f>(2747.18+0)/67923.11</f>
        <v>4.0445438967679777E-2</v>
      </c>
      <c r="I14" s="14">
        <f>(3741.73+50)/74735.14</f>
        <v>5.0735570977722126E-2</v>
      </c>
      <c r="J14" s="14">
        <f>(4600.5+50)/80632.17</f>
        <v>5.767549106020587E-2</v>
      </c>
      <c r="K14" s="14">
        <f>(4778.57+50)/81701.46</f>
        <v>5.9100167855017517E-2</v>
      </c>
    </row>
    <row r="15" spans="1:11">
      <c r="A15" s="11" t="s">
        <v>109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2" t="s">
        <v>110</v>
      </c>
      <c r="B16" s="14">
        <f>86396.45/91293.7</f>
        <v>0.94635719660830919</v>
      </c>
      <c r="C16" s="14">
        <f>100339.84/96231.23</f>
        <v>1.0426951832580753</v>
      </c>
      <c r="D16" s="14">
        <f>115197.92/101777.77</f>
        <v>1.1318573790720703</v>
      </c>
      <c r="E16" s="14">
        <f>135074.17/107408.17</f>
        <v>1.2575781711949847</v>
      </c>
      <c r="F16" s="14">
        <f>160588.06/113569.44</f>
        <v>1.4140076767130312</v>
      </c>
      <c r="G16" s="14">
        <f>174488.61/118985.49</f>
        <v>1.4664696510473669</v>
      </c>
      <c r="H16" s="14">
        <f>184594.6/128667.52</f>
        <v>1.4346635421278036</v>
      </c>
      <c r="I16" s="14">
        <f>186284.84/138889.88</f>
        <v>1.3412412769022479</v>
      </c>
      <c r="J16" s="14">
        <f>185218.62/149885.02</f>
        <v>1.2357380343946314</v>
      </c>
      <c r="K16" s="14">
        <f>185243.57/161640.55</f>
        <v>1.1460216511265275</v>
      </c>
    </row>
    <row r="17" spans="1:11">
      <c r="A17" s="12" t="s">
        <v>111</v>
      </c>
      <c r="B17" s="13">
        <f>86396.45/215138.32*100</f>
        <v>40.158559386351996</v>
      </c>
      <c r="C17" s="13">
        <f>100339.84/236577.49*100</f>
        <v>42.413096867330871</v>
      </c>
      <c r="D17" s="13">
        <f>115197.92/267832.09*100</f>
        <v>43.011246337210743</v>
      </c>
      <c r="E17" s="13">
        <f>135074.17/290750.96*100</f>
        <v>46.456998800623047</v>
      </c>
      <c r="F17" s="13">
        <f>160588.06/327667.45*100</f>
        <v>49.009463710844635</v>
      </c>
      <c r="G17" s="13">
        <f>174488.61/343176.92*100</f>
        <v>50.845088883016956</v>
      </c>
      <c r="H17" s="13">
        <f>184594.6/371140.44*100</f>
        <v>49.737129157900448</v>
      </c>
      <c r="I17" s="13">
        <f>186284.84/383674.45*100</f>
        <v>48.552839523194727</v>
      </c>
      <c r="J17" s="13">
        <f>185218.62/393294.53*100</f>
        <v>47.094125616239815</v>
      </c>
      <c r="K17" s="13">
        <f>185243.57/407917.66*100</f>
        <v>45.412000549326557</v>
      </c>
    </row>
    <row r="18" spans="1:11">
      <c r="A18" s="12" t="s">
        <v>112</v>
      </c>
      <c r="B18" s="13">
        <f>91293.7/215138.32*100</f>
        <v>42.434885612195913</v>
      </c>
      <c r="C18" s="13">
        <f>96231.23/236577.49*100</f>
        <v>40.676410084492822</v>
      </c>
      <c r="D18" s="13">
        <f>101777.77/267832.09*100</f>
        <v>38.000588353695782</v>
      </c>
      <c r="E18" s="13">
        <f>107408.17/290750.96*100</f>
        <v>36.941638988913397</v>
      </c>
      <c r="F18" s="13">
        <f>113569.44/327667.45*100</f>
        <v>34.659970039746092</v>
      </c>
      <c r="G18" s="13">
        <f>118985.49/343176.92*100</f>
        <v>34.67176347407046</v>
      </c>
      <c r="H18" s="13">
        <f>128667.52/371140.44*100</f>
        <v>34.668148801030682</v>
      </c>
      <c r="I18" s="13">
        <f>138889.88/383674.45*100</f>
        <v>36.19992939326557</v>
      </c>
      <c r="J18" s="13">
        <f>149885.02/393294.53*100</f>
        <v>38.110120677244097</v>
      </c>
      <c r="K18" s="13">
        <f>161640.55/407917.66*100</f>
        <v>39.6257788888081</v>
      </c>
    </row>
    <row r="19" spans="1:11">
      <c r="A19" s="12" t="s">
        <v>113</v>
      </c>
      <c r="B19" s="14">
        <f>'Reconstructed P&amp;L'!B9/3296.41</f>
        <v>3.860815250530123</v>
      </c>
      <c r="C19" s="14">
        <f>'Reconstructed P&amp;L'!C9/3597.2</f>
        <v>4.3443150227955076</v>
      </c>
      <c r="D19" s="14">
        <f>'Reconstructed P&amp;L'!D9/3984.25</f>
        <v>4.4749476061994109</v>
      </c>
      <c r="E19" s="14">
        <f>'Reconstructed P&amp;L'!E9/4716.74</f>
        <v>2.4753940221424116</v>
      </c>
      <c r="F19" s="14">
        <f>'Reconstructed P&amp;L'!F9/6781.97</f>
        <v>3.4353897171470815</v>
      </c>
      <c r="G19" s="14">
        <f>'Reconstructed P&amp;L'!G9/7459.03</f>
        <v>2.7042323197520326</v>
      </c>
      <c r="H19" s="14">
        <f>'Reconstructed P&amp;L'!H9/8216.54</f>
        <v>3.0890362610052389</v>
      </c>
      <c r="I19" s="14">
        <f>'Reconstructed P&amp;L'!I9/9979.23</f>
        <v>2.9561990253757053</v>
      </c>
      <c r="J19" s="14">
        <f>'Reconstructed P&amp;L'!J9/10250.82</f>
        <v>2.9653598443831815</v>
      </c>
      <c r="K19" s="14">
        <f>'Reconstructed P&amp;L'!K9/11057.04</f>
        <v>3.0415029700534681</v>
      </c>
    </row>
    <row r="20" spans="1:11">
      <c r="A20" s="11" t="s">
        <v>114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>
      <c r="A21" s="12" t="s">
        <v>115</v>
      </c>
      <c r="B21" s="14">
        <f>43798.59/7010.37</f>
        <v>6.2476859281321806</v>
      </c>
      <c r="C21" s="14">
        <f>47572.19/AVERAGE(' Balance Sheet'!B28,' Balance Sheet'!C28)</f>
        <v>7.039815969894593</v>
      </c>
      <c r="D21" s="14">
        <f>49628.98/AVERAGE(' Balance Sheet'!C28,' Balance Sheet'!D28)</f>
        <v>7.9013261222764504</v>
      </c>
      <c r="E21" s="14">
        <f>55207.42/AVERAGE(' Balance Sheet'!D28,' Balance Sheet'!E28)</f>
        <v>7.8612812735842326</v>
      </c>
      <c r="F21" s="14">
        <f>57018.26/AVERAGE(' Balance Sheet'!E28,' Balance Sheet'!F28)</f>
        <v>6.0917334940181238</v>
      </c>
      <c r="G21" s="14">
        <f>55880.89/AVERAGE(' Balance Sheet'!F28,' Balance Sheet'!G28)</f>
        <v>5.6131235309480276</v>
      </c>
      <c r="H21" s="14">
        <f>70020.29/AVERAGE(' Balance Sheet'!G28,' Balance Sheet'!H28)</f>
        <v>7.4213579905394491</v>
      </c>
      <c r="I21" s="14">
        <f>100507.76/AVERAGE(' Balance Sheet'!H28,' Balance Sheet'!I28)</f>
        <v>8.6011582854636668</v>
      </c>
      <c r="J21" s="14">
        <f>97919.15/AVERAGE(' Balance Sheet'!I28,' Balance Sheet'!J28)</f>
        <v>6.3072769422323898</v>
      </c>
      <c r="K21" s="14">
        <f>100827.94/AVERAGE(' Balance Sheet'!J28,' Balance Sheet'!K28)</f>
        <v>5.7259825956784782</v>
      </c>
    </row>
    <row r="22" spans="1:11">
      <c r="A22" s="12" t="s">
        <v>116</v>
      </c>
      <c r="B22" s="14">
        <f>'Reconstructed P&amp;L'!B5/7732.22</f>
        <v>9.1621565346045504</v>
      </c>
      <c r="C22" s="14">
        <f>'Reconstructed P&amp;L'!C5/AVERAGE(' Balance Sheet'!B29,' Balance Sheet'!C29)</f>
        <v>9.8975005891567438</v>
      </c>
      <c r="D22" s="14">
        <f>'Reconstructed P&amp;L'!D5/AVERAGE(' Balance Sheet'!C29,' Balance Sheet'!D29)</f>
        <v>11.035143412177103</v>
      </c>
      <c r="E22" s="14">
        <f>'Reconstructed P&amp;L'!E5/AVERAGE(' Balance Sheet'!D29,' Balance Sheet'!E29)</f>
        <v>10.80027579608327</v>
      </c>
      <c r="F22" s="14">
        <f>'Reconstructed P&amp;L'!F5/AVERAGE(' Balance Sheet'!E29,' Balance Sheet'!F29)</f>
        <v>8.5266761057089564</v>
      </c>
      <c r="G22" s="14">
        <f>'Reconstructed P&amp;L'!G5/AVERAGE(' Balance Sheet'!F29,' Balance Sheet'!G29)</f>
        <v>5.2336001886428214</v>
      </c>
      <c r="H22" s="14">
        <f>'Reconstructed P&amp;L'!H5/AVERAGE(' Balance Sheet'!G29,' Balance Sheet'!H29)</f>
        <v>5.1374455171234592</v>
      </c>
      <c r="I22" s="14">
        <f>'Reconstructed P&amp;L'!I5/AVERAGE(' Balance Sheet'!H29,' Balance Sheet'!I29)</f>
        <v>6.4273826519529171</v>
      </c>
      <c r="J22" s="14">
        <f>'Reconstructed P&amp;L'!J5/AVERAGE(' Balance Sheet'!I29,' Balance Sheet'!J29)</f>
        <v>6.1129612920824581</v>
      </c>
      <c r="K22" s="14">
        <f>'Reconstructed P&amp;L'!K5/AVERAGE(' Balance Sheet'!J29,' Balance Sheet'!K29)</f>
        <v>6.1820150686333566</v>
      </c>
    </row>
    <row r="23" spans="1:11">
      <c r="A23" s="12" t="s">
        <v>117</v>
      </c>
      <c r="B23" s="14">
        <f t="shared" ref="B23:K23" si="0">365/B22</f>
        <v>39.837782581145767</v>
      </c>
      <c r="C23" s="14">
        <f t="shared" si="0"/>
        <v>36.877997299629115</v>
      </c>
      <c r="D23" s="14">
        <f t="shared" si="0"/>
        <v>33.076144674044599</v>
      </c>
      <c r="E23" s="14">
        <f t="shared" si="0"/>
        <v>33.795433273321372</v>
      </c>
      <c r="F23" s="14">
        <f t="shared" si="0"/>
        <v>42.806832988017177</v>
      </c>
      <c r="G23" s="14">
        <f t="shared" si="0"/>
        <v>69.741666700499692</v>
      </c>
      <c r="H23" s="14">
        <f t="shared" si="0"/>
        <v>71.046982159407804</v>
      </c>
      <c r="I23" s="14">
        <f t="shared" si="0"/>
        <v>56.788279112197749</v>
      </c>
      <c r="J23" s="14">
        <f t="shared" si="0"/>
        <v>59.709195357207655</v>
      </c>
      <c r="K23" s="14">
        <f t="shared" si="0"/>
        <v>59.042237190905084</v>
      </c>
    </row>
    <row r="24" spans="1:11">
      <c r="A24" s="12" t="s">
        <v>118</v>
      </c>
      <c r="B24" s="14">
        <f>43798.59/5311.64</f>
        <v>8.2457753160982286</v>
      </c>
      <c r="C24" s="14">
        <f>47572.19/AVERAGE(' Balance Sheet'!B15,' Balance Sheet'!C15)</f>
        <v>9.3391239649303266</v>
      </c>
      <c r="D24" s="14">
        <f>49628.98/AVERAGE(' Balance Sheet'!C15,' Balance Sheet'!D15)</f>
        <v>9.4813845436691402</v>
      </c>
      <c r="E24" s="14">
        <f>55207.42/AVERAGE(' Balance Sheet'!D15,' Balance Sheet'!E15)</f>
        <v>8.4006670937446266</v>
      </c>
      <c r="F24" s="14">
        <f>57018.26/AVERAGE(' Balance Sheet'!E15,' Balance Sheet'!F15)</f>
        <v>6.8897705776551712</v>
      </c>
      <c r="G24" s="14">
        <f>55880.89/AVERAGE(' Balance Sheet'!F15,' Balance Sheet'!G15)</f>
        <v>6.9060797992967977</v>
      </c>
      <c r="H24" s="14">
        <f>70020.29/AVERAGE(' Balance Sheet'!G15,' Balance Sheet'!H15)</f>
        <v>8.2781858528967014</v>
      </c>
      <c r="I24" s="14">
        <f>100507.76/AVERAGE(' Balance Sheet'!H15,' Balance Sheet'!I15)</f>
        <v>10.397829556005576</v>
      </c>
      <c r="J24" s="14">
        <f>97919.15/AVERAGE(' Balance Sheet'!I15,' Balance Sheet'!J15)</f>
        <v>10.26795807214058</v>
      </c>
      <c r="K24" s="14">
        <f>100827.94/AVERAGE(' Balance Sheet'!J15,' Balance Sheet'!K15)</f>
        <v>10.590419271742814</v>
      </c>
    </row>
    <row r="25" spans="1:11">
      <c r="A25" s="12" t="s">
        <v>119</v>
      </c>
      <c r="B25" s="14">
        <f t="shared" ref="B25:K25" si="1">365/B24</f>
        <v>44.265091638794772</v>
      </c>
      <c r="C25" s="14">
        <f t="shared" si="1"/>
        <v>39.082894859370576</v>
      </c>
      <c r="D25" s="14">
        <f t="shared" si="1"/>
        <v>38.496487334617797</v>
      </c>
      <c r="E25" s="14">
        <f t="shared" si="1"/>
        <v>43.44893041551299</v>
      </c>
      <c r="F25" s="14">
        <f t="shared" si="1"/>
        <v>52.977090584665333</v>
      </c>
      <c r="G25" s="14">
        <f t="shared" si="1"/>
        <v>52.851981240814162</v>
      </c>
      <c r="H25" s="14">
        <f t="shared" si="1"/>
        <v>44.091786109426288</v>
      </c>
      <c r="I25" s="14">
        <f t="shared" si="1"/>
        <v>35.103479820861594</v>
      </c>
      <c r="J25" s="14">
        <f t="shared" si="1"/>
        <v>35.547476668251313</v>
      </c>
      <c r="K25" s="14">
        <f t="shared" si="1"/>
        <v>34.465113291018341</v>
      </c>
    </row>
    <row r="26" spans="1:11">
      <c r="A26" s="12" t="s">
        <v>120</v>
      </c>
      <c r="B26" s="14">
        <f>'Reconstructed P&amp;L'!B5/91773.25</f>
        <v>0.77194400329071922</v>
      </c>
      <c r="C26" s="14">
        <f>'Reconstructed P&amp;L'!C5/99355.72</f>
        <v>0.79046641703165155</v>
      </c>
      <c r="D26" s="14">
        <f>'Reconstructed P&amp;L'!D5/119759.17</f>
        <v>0.72406605690403503</v>
      </c>
      <c r="E26" s="14">
        <f>'Reconstructed P&amp;L'!E5/125620.62</f>
        <v>0.68831128201723568</v>
      </c>
      <c r="F26" s="14">
        <f>'Reconstructed P&amp;L'!F5/156811.3</f>
        <v>0.65383827568548958</v>
      </c>
      <c r="G26" s="14">
        <f>'Reconstructed P&amp;L'!G5/164448.86</f>
        <v>0.61408823387404454</v>
      </c>
      <c r="H26" s="14">
        <f>'Reconstructed P&amp;L'!H5/195570.54</f>
        <v>0.62682743525686435</v>
      </c>
      <c r="I26" s="14">
        <f>'Reconstructed P&amp;L'!I5/196895.88</f>
        <v>0.82875619337489437</v>
      </c>
      <c r="J26" s="14">
        <f>'Reconstructed P&amp;L'!J5/211751.12</f>
        <v>0.77044787295576056</v>
      </c>
      <c r="K26" s="14">
        <f>'Reconstructed P&amp;L'!K5/211348.91</f>
        <v>0.82020801526726583</v>
      </c>
    </row>
    <row r="27" spans="1:11">
      <c r="A27" s="12" t="s">
        <v>121</v>
      </c>
      <c r="B27" s="14">
        <f>'Reconstructed P&amp;L'!B5/215138.32</f>
        <v>0.32929424195559392</v>
      </c>
      <c r="C27" s="14">
        <f>'Reconstructed P&amp;L'!C5/236577.49</f>
        <v>0.33197308839484263</v>
      </c>
      <c r="D27" s="14">
        <f>'Reconstructed P&amp;L'!D5/267832.09</f>
        <v>0.3237608682365134</v>
      </c>
      <c r="E27" s="14">
        <f>'Reconstructed P&amp;L'!E5/290750.96</f>
        <v>0.29738883751235073</v>
      </c>
      <c r="F27" s="14">
        <f>'Reconstructed P&amp;L'!F5/327667.45</f>
        <v>0.31290636283829837</v>
      </c>
      <c r="G27" s="14">
        <f>'Reconstructed P&amp;L'!G5/343176.92</f>
        <v>0.29426836163690728</v>
      </c>
      <c r="H27" s="14">
        <f>'Reconstructed P&amp;L'!H5/371140.44</f>
        <v>0.33030348296186746</v>
      </c>
      <c r="I27" s="14">
        <f>'Reconstructed P&amp;L'!I5/383674.45</f>
        <v>0.42530504702619626</v>
      </c>
      <c r="J27" s="14">
        <f>'Reconstructed P&amp;L'!J5/393294.53</f>
        <v>0.41481176969331357</v>
      </c>
      <c r="K27" s="14">
        <f>'Reconstructed P&amp;L'!K5/407917.66</f>
        <v>0.42496338599314387</v>
      </c>
    </row>
    <row r="28" spans="1:11">
      <c r="A28" s="12" t="s">
        <v>122</v>
      </c>
      <c r="B28" s="14">
        <f>'Reconstructed P&amp;L'!B5/-2002.29</f>
        <v>-35.381393304666155</v>
      </c>
      <c r="C28" s="14">
        <f>'Reconstructed P&amp;L'!C5/-7777.41999999999</f>
        <v>-10.098125085182502</v>
      </c>
      <c r="D28" s="14">
        <f>'Reconstructed P&amp;L'!D5/-5823.51</f>
        <v>-14.890255189739522</v>
      </c>
      <c r="E28" s="14">
        <f>'Reconstructed P&amp;L'!E5/-13220.26</f>
        <v>-6.5404228056029154</v>
      </c>
      <c r="F28" s="14">
        <f>'Reconstructed P&amp;L'!F5/-6199.3</f>
        <v>-16.538839869017469</v>
      </c>
      <c r="G28" s="14">
        <f>'Reconstructed P&amp;L'!G5/-10506.5</f>
        <v>-9.6117746157140811</v>
      </c>
      <c r="H28" s="14">
        <f>'Reconstructed P&amp;L'!H5/-16704.6299999999</f>
        <v>-7.3386228847930628</v>
      </c>
      <c r="I28" s="14">
        <f>'Reconstructed P&amp;L'!I5/-8802.08999999999</f>
        <v>-18.538628893819556</v>
      </c>
      <c r="J28" s="14">
        <f>'Reconstructed P&amp;L'!J5/-8158.83999999999</f>
        <v>-19.995881767506191</v>
      </c>
      <c r="K28" s="14">
        <f>'Reconstructed P&amp;L'!K5/-5394.67000000001</f>
        <v>-32.133581850233597</v>
      </c>
    </row>
    <row r="29" spans="1:11" ht="15.6">
      <c r="A29" s="19" t="s">
        <v>123</v>
      </c>
    </row>
    <row r="30" spans="1:11">
      <c r="A30" s="20" t="s">
        <v>124</v>
      </c>
      <c r="B30">
        <v>11.44</v>
      </c>
      <c r="C30" t="s">
        <v>126</v>
      </c>
      <c r="D30">
        <v>2.72</v>
      </c>
    </row>
    <row r="31" spans="1:11">
      <c r="A31" s="21" t="s">
        <v>125</v>
      </c>
      <c r="B31">
        <v>31.44</v>
      </c>
      <c r="C31" t="s">
        <v>127</v>
      </c>
      <c r="D31">
        <v>1.53</v>
      </c>
    </row>
    <row r="32" spans="1:1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>
      <c r="A33" s="22" t="s">
        <v>128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>
      <c r="A34" s="18" t="s">
        <v>129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>
      <c r="A35" s="18" t="s">
        <v>130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>
      <c r="A36" s="18" t="s">
        <v>131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8" spans="1:11">
      <c r="A38" t="s">
        <v>132</v>
      </c>
    </row>
  </sheetData>
  <mergeCells count="7">
    <mergeCell ref="A36:K36"/>
    <mergeCell ref="A1:K1"/>
    <mergeCell ref="A34:K34"/>
    <mergeCell ref="A35:K35"/>
    <mergeCell ref="A2:K2"/>
    <mergeCell ref="A33:K33"/>
    <mergeCell ref="A32:K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Reconstructed P&amp;L</vt:lpstr>
      <vt:lpstr>P &amp; L</vt:lpstr>
      <vt:lpstr> Balance Sheet</vt:lpstr>
      <vt:lpstr>Financial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Manavi Keshari</cp:lastModifiedBy>
  <dcterms:created xsi:type="dcterms:W3CDTF">2026-09-08T06:02:49Z</dcterms:created>
  <dcterms:modified xsi:type="dcterms:W3CDTF">2026-09-08T07:47:42Z</dcterms:modified>
</cp:coreProperties>
</file>